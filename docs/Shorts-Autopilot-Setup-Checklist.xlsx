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1 Keys &amp; Accounts" sheetId="2" state="visible" r:id="rId4"/>
    <sheet name="2 Deploy Steps" sheetId="3" state="visible" r:id="rId5"/>
    <sheet name="3 After Deploy" sheetId="4" state="visible" r:id="rId6"/>
    <sheet name="4 Callback URLs" sheetId="5" state="visible" r:id="rId7"/>
  </sheets>
  <definedNames>
    <definedName function="false" hidden="true" localSheetId="1" name="_xlnm._FilterDatabase" vbProcedure="false">'1 Keys &amp; Accounts'!$A$1:$K$32</definedName>
    <definedName function="false" hidden="true" localSheetId="2" name="_xlnm._FilterDatabase" vbProcedure="false">'2 Deploy Steps'!$A$1:$E$13</definedName>
    <definedName function="false" hidden="true" localSheetId="3" name="_xlnm._FilterDatabase" vbProcedure="false">'3 After Deploy'!$A$1:$E$13</definedName>
    <definedName function="false" hidden="true" localSheetId="4" name="_xlnm._FilterDatabase" vbProcedure="false">'4 Callback URLs'!$A$1:$C$8</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J1" authorId="0">
      <text>
        <r>
          <rPr>
            <sz val="10"/>
            <rFont val="Arial"/>
            <family val="2"/>
          </rPr>
          <t xml:space="preserve">Edit these yellow cells: pick Not started / In progress / Done / Skipped.</t>
        </r>
      </text>
    </comment>
  </commentList>
</comments>
</file>

<file path=xl/sharedStrings.xml><?xml version="1.0" encoding="utf-8"?>
<sst xmlns="http://schemas.openxmlformats.org/spreadsheetml/2006/main" count="437" uniqueCount="288">
  <si>
    <t xml:space="preserve">Shorts Autopilot: setup checklist</t>
  </si>
  <si>
    <t xml:space="preserve">Everything you need to create, in order. Work through sheets 1 → 2 → 3. Sheet 4 builds your callback URLs for you.</t>
  </si>
  <si>
    <t xml:space="preserve">HOW TO USE</t>
  </si>
  <si>
    <t xml:space="preserve">Your app URL (after first deploy):</t>
  </si>
  <si>
    <t xml:space="preserve">e.g. https://shorts-xyz.vercel.app (no slash at the end)</t>
  </si>
  <si>
    <t xml:space="preserve">Yellow cells</t>
  </si>
  <si>
    <t xml:space="preserve">The ONLY cells you edit: Status dropdowns + your app URL above.</t>
  </si>
  <si>
    <t xml:space="preserve">Red priority</t>
  </si>
  <si>
    <t xml:space="preserve">Required: the app won't run without these.</t>
  </si>
  <si>
    <t xml:space="preserve">Blue priority</t>
  </si>
  <si>
    <t xml:space="preserve">Platforms: add the ones you want to post to (YouTube + Instagram first).</t>
  </si>
  <si>
    <t xml:space="preserve">Grey priority</t>
  </si>
  <si>
    <t xml:space="preserve">Optional: better B-roll, more backup AI, free GPU.</t>
  </si>
  <si>
    <t xml:space="preserve">SECURITY</t>
  </si>
  <si>
    <t xml:space="preserve">Do NOT type your actual keys/passwords into this file. Put them straight into Vercel / GitHub / the app. Use a password manager to keep copies.</t>
  </si>
  <si>
    <t xml:space="preserve">PROGRESS</t>
  </si>
  <si>
    <t xml:space="preserve">Checklist</t>
  </si>
  <si>
    <t xml:space="preserve">Items</t>
  </si>
  <si>
    <t xml:space="preserve">Done</t>
  </si>
  <si>
    <t xml:space="preserve">% done</t>
  </si>
  <si>
    <t xml:space="preserve">Required keys (sheet 1)</t>
  </si>
  <si>
    <t xml:space="preserve">Platform keys (sheet 1)</t>
  </si>
  <si>
    <t xml:space="preserve">Optional keys (sheet 1)</t>
  </si>
  <si>
    <t xml:space="preserve">Deploy steps (sheet 2)</t>
  </si>
  <si>
    <t xml:space="preserve">After-deploy steps (sheet 3)</t>
  </si>
  <si>
    <t xml:space="preserve">TOTAL</t>
  </si>
  <si>
    <t xml:space="preserve">Items marked 'Skipped' are not counted. Done = the status cell says Done.</t>
  </si>
  <si>
    <t xml:space="preserve">MINIMUM TO GO LIVE ON YOUTUBE</t>
  </si>
  <si>
    <t xml:space="preserve">Sheet 1 rows 1-16 + Sheet 2 all steps + Sheet 3 steps 1, 4-10. Add other platforms after the first video works.</t>
  </si>
  <si>
    <t xml:space="preserve">HONEST LIMITS</t>
  </si>
  <si>
    <t xml:space="preserve">• YouTube: private-only + ~6 uploads/day until the API audit passes.
• Free cloud worker (CPU) is slow: realistically 2-4 natural shorts/day. Hourly needs your own NVIDIA GPU (Studio .exe) or Kaggle quota.
• Vercel Hobby = non-commercial. Upgrade to Pro once you earn.
• X posting costs money; LinkedIn needs a reconnect every ~60 days.</t>
  </si>
  <si>
    <t xml:space="preserve">#</t>
  </si>
  <si>
    <t xml:space="preserve">Priority</t>
  </si>
  <si>
    <t xml:space="preserve">Service</t>
  </si>
  <si>
    <t xml:space="preserve">Variable name(s)</t>
  </si>
  <si>
    <t xml:space="preserve">Cost</t>
  </si>
  <si>
    <t xml:space="preserve">Where you put it</t>
  </si>
  <si>
    <t xml:space="preserve">Link</t>
  </si>
  <si>
    <t xml:space="preserve">How to get it (step by step)</t>
  </si>
  <si>
    <t xml:space="preserve">Honest catch</t>
  </si>
  <si>
    <t xml:space="preserve">Status</t>
  </si>
  <si>
    <t xml:space="preserve">Notes</t>
  </si>
  <si>
    <t xml:space="preserve">1 Required</t>
  </si>
  <si>
    <t xml:space="preserve">GitHub account + repo</t>
  </si>
  <si>
    <t xml:space="preserve">—</t>
  </si>
  <si>
    <t xml:space="preserve">Free</t>
  </si>
  <si>
    <t xml:space="preserve">https://github.com/kashyapphassan2000-netizen/SOCIAL-MEDIA-AUTOMATION-</t>
  </si>
  <si>
    <t xml:space="preserve">Already done. The code lives here.</t>
  </si>
  <si>
    <t xml:space="preserve">Vercel account</t>
  </si>
  <si>
    <t xml:space="preserve">Free (Hobby)</t>
  </si>
  <si>
    <t xml:space="preserve">https://vercel.com/signup</t>
  </si>
  <si>
    <t xml:space="preserve">1. Open the link.
2. Choose 'Hobby'.
3. Click 'Continue with GitHub' and use the SAME GitHub account as the repo.
4. When asked, allow the Vercel GitHub app access to this repo.</t>
  </si>
  <si>
    <t xml:space="preserve">Hobby plan is for non-commercial use only. Once the channel earns money, Vercel requires Pro ($20/month).</t>
  </si>
  <si>
    <t xml:space="preserve">Not started</t>
  </si>
  <si>
    <t xml:space="preserve">Secret 1: app secret</t>
  </si>
  <si>
    <t xml:space="preserve">APP_SECRET</t>
  </si>
  <si>
    <t xml:space="preserve">Vercel → Project → Settings → Environment Variables</t>
  </si>
  <si>
    <t xml:space="preserve">Generate a random 64-character string. Either:
• Git Bash (comes with Git for Windows): openssl rand -hex 32
• or Python: python -c "import secrets;print(secrets.token_hex(32))"
Copy the output.</t>
  </si>
  <si>
    <t xml:space="preserve">Never reuse it anywhere else. Changing it later logs everyone out and breaks saved platform logins (you'd reconnect).</t>
  </si>
  <si>
    <t xml:space="preserve">Secret 2: cron secret</t>
  </si>
  <si>
    <t xml:space="preserve">CRON_SECRET</t>
  </si>
  <si>
    <t xml:space="preserve">Vercel → Project → Settings → Environment Variables
AND GitHub repo → Settings → Secrets and variables → Actions</t>
  </si>
  <si>
    <t xml:space="preserve">Generate a NEW random string the same way as row 3.
Put the SAME value in Vercel and in GitHub secrets.</t>
  </si>
  <si>
    <t xml:space="preserve">If the two values differ, the hourly trigger gets rejected and nothing runs.</t>
  </si>
  <si>
    <t xml:space="preserve">Secret 3: worker secret</t>
  </si>
  <si>
    <t xml:space="preserve">WORKER_SECRET</t>
  </si>
  <si>
    <t xml:space="preserve">If the values differ, the free voice/video worker can't fetch jobs.</t>
  </si>
  <si>
    <t xml:space="preserve">Your owner login</t>
  </si>
  <si>
    <t xml:space="preserve">OWNER_EMAIL
OWNER_PASSWORD
OWNER_NAME</t>
  </si>
  <si>
    <t xml:space="preserve">OWNER_EMAIL = the email you'll log in with.
OWNER_PASSWORD = 12+ characters, unique.
OWNER_NAME = your name as shown in the app.</t>
  </si>
  <si>
    <t xml:space="preserve">This is the master login. Anyone with it can post as you.</t>
  </si>
  <si>
    <t xml:space="preserve">App URL</t>
  </si>
  <si>
    <t xml:space="preserve">APP_URL</t>
  </si>
  <si>
    <t xml:space="preserve">Only AFTER the first deploy (sheet 2, step 5):
1. Vercel → your project → Domains: copy the URL, e.g. https://shorts-xyz.vercel.app
2. No slash at the end.
3. Add as APP_URL in Vercel AND as a GitHub secret.
4. Paste it into the yellow cell on 'Start Here' too.</t>
  </si>
  <si>
    <t xml:space="preserve">OAuth logins fail if this doesn't exactly match the real URL.</t>
  </si>
  <si>
    <t xml:space="preserve">Upstash Redis (database)</t>
  </si>
  <si>
    <t xml:space="preserve">KV_REST_API_URL
KV_REST_API_TOKEN</t>
  </si>
  <si>
    <t xml:space="preserve">Free tier</t>
  </si>
  <si>
    <t xml:space="preserve">Auto-added by Vercel</t>
  </si>
  <si>
    <t xml:space="preserve">https://vercel.com/marketplace/upstash</t>
  </si>
  <si>
    <t xml:space="preserve">After importing the project:
1. Vercel → your project → Storage tab.
2. Create Database → 'Upstash for Redis'.
3. Pick the Free plan and the region nearest you (e.g. Mumbai).
4. Click 'Connect to project' and tick all environments.
5. The 2 variables appear by themselves. Redeploy.</t>
  </si>
  <si>
    <t xml:space="preserve">The free tier has a monthly request cap. Check usage on the Upstash dashboard after week 1.</t>
  </si>
  <si>
    <t xml:space="preserve">Vercel Blob (temp video storage)</t>
  </si>
  <si>
    <t xml:space="preserve">BLOB_READ_WRITE_TOKEN</t>
  </si>
  <si>
    <t xml:space="preserve">https://vercel.com/docs/vercel-blob</t>
  </si>
  <si>
    <t xml:space="preserve">1. Vercel → your project → Storage → Create → Blob.
2. Name it 'shorts-media'. If asked about access, choose Public.
3. Connect it to the project. The token is added by itself. Redeploy.</t>
  </si>
  <si>
    <t xml:space="preserve">Public means anyone with the exact file link can open a file. Links are random and the app deletes media after upload.</t>
  </si>
  <si>
    <t xml:space="preserve">Gemini (writes scripts)</t>
  </si>
  <si>
    <t xml:space="preserve">GEMINI_API_KEY</t>
  </si>
  <si>
    <t xml:space="preserve">https://aistudio.google.com/apikey</t>
  </si>
  <si>
    <t xml:space="preserve">1. Sign in with Google.
2. Click 'Create API key'.
3. Copy the key.</t>
  </si>
  <si>
    <t xml:space="preserve">The free tier has rate limits, and Google may use free-tier prompts to improve its products. Fine for news scripts.</t>
  </si>
  <si>
    <t xml:space="preserve">Groq (backup AI)</t>
  </si>
  <si>
    <t xml:space="preserve">GROQ_API_KEY</t>
  </si>
  <si>
    <t xml:space="preserve">https://console.groq.com/keys</t>
  </si>
  <si>
    <t xml:space="preserve">1. Sign up (no card needed).
2. API Keys → Create API Key.
3. Copy it (it's shown only once).</t>
  </si>
  <si>
    <t xml:space="preserve">Rate-limited, but a video needs only about 2 AI calls.</t>
  </si>
  <si>
    <t xml:space="preserve">GitHub token (starts the free worker)</t>
  </si>
  <si>
    <t xml:space="preserve">GH_DISPATCH_TOKEN</t>
  </si>
  <si>
    <t xml:space="preserve">https://github.com/settings/personal-access-tokens/new</t>
  </si>
  <si>
    <t xml:space="preserve">1. Open the link (Fine-grained token).
2. Name: shorts-worker. Expiration: 1 year.
3. Repository access → Only select repositories → kashyapphassan2000-netizen/SOCIAL-MEDIA-AUTOMATION-.
4. Permissions → Repository → Actions: 'Read and write'.
5. Generate token and copy it.</t>
  </si>
  <si>
    <t xml:space="preserve">It expires. Put a calendar reminder 1 week before, or the free voice/video worker stops starting.</t>
  </si>
  <si>
    <t xml:space="preserve">Repo name</t>
  </si>
  <si>
    <t xml:space="preserve">GITHUB_REPO</t>
  </si>
  <si>
    <t xml:space="preserve">Value to paste exactly:
kashyapphassan2000-netizen/SOCIAL-MEDIA-AUTOMATION-</t>
  </si>
  <si>
    <t xml:space="preserve">GitHub Actions secrets</t>
  </si>
  <si>
    <t xml:space="preserve">APP_URL
CRON_SECRET
WORKER_SECRET</t>
  </si>
  <si>
    <t xml:space="preserve">GitHub repo → Settings → Secrets and variables → Actions</t>
  </si>
  <si>
    <t xml:space="preserve">https://github.com/kashyapphassan2000-netizen/SOCIAL-MEDIA-AUTOMATION-/settings/secrets/actions</t>
  </si>
  <si>
    <t xml:space="preserve">1. Open the link.
2. Click 'New repository secret' 3 times, once per name.
3. Use the SAME values as in Vercel (rows 4, 5, 7).</t>
  </si>
  <si>
    <t xml:space="preserve">Without these, the hourly heartbeat and the free worker can't talk to your app.</t>
  </si>
  <si>
    <t xml:space="preserve">2 Platform</t>
  </si>
  <si>
    <t xml:space="preserve">YouTube + Google Sheet log</t>
  </si>
  <si>
    <t xml:space="preserve">GOOGLE_CLIENT_ID
GOOGLE_CLIENT_SECRET</t>
  </si>
  <si>
    <t xml:space="preserve">https://console.cloud.google.com/</t>
  </si>
  <si>
    <t xml:space="preserve">1. Top bar → New project → name: shorts-autopilot.
2. APIs &amp; Services → Library → enable 'YouTube Data API v3' AND 'Google Sheets API'.
3. Google Auth Platform (OAuth consent screen) → Get started → External → app name + your email.
4. Audience → add your Gmail as a test user.
5. Clients → Create client → 'Web application' → Authorized redirect URI = the google URL from sheet 4.
6. Copy the Client ID and Client secret.
7. Audience → 'Publish app' (In production). Do this, or the login dies every 7 days.</t>
  </si>
  <si>
    <t xml:space="preserve">• Unaudited API projects: every upload is forced PRIVATE. Fix: submit the free 'YouTube API Services audit' form (Google → 'YouTube API audit form'). It takes weeks.
• Default quota is 10,000 units/day; one upload costs ~1,600, so about 6 YouTube uploads/day. Request more quota in the same form.
• You'll see 'Google hasn't verified this app'. Click Advanced → Continue (it's your own app).</t>
  </si>
  <si>
    <t xml:space="preserve">Google Sheet for logs</t>
  </si>
  <si>
    <t xml:space="preserve">GOOGLE_SHEET_ID</t>
  </si>
  <si>
    <t xml:space="preserve">Vercel → Project → Settings → Environment Variables
(or app → Settings)</t>
  </si>
  <si>
    <t xml:space="preserve">https://sheets.new</t>
  </si>
  <si>
    <t xml:space="preserve">1. Open sheets.new with the SAME Google account you'll connect for YouTube.
2. Name it 'Shorts Autopilot Log'.
3. Copy the ID from the URL: docs.google.com/spreadsheets/d/&lt;THIS PART&gt;/edit
4. Paste it into Vercel or the app's Settings.</t>
  </si>
  <si>
    <t xml:space="preserve">The sheet must belong to the Google account you connect, or writes fail.</t>
  </si>
  <si>
    <t xml:space="preserve">Instagram Reels</t>
  </si>
  <si>
    <t xml:space="preserve">INSTAGRAM_APP_ID
INSTAGRAM_APP_SECRET</t>
  </si>
  <si>
    <t xml:space="preserve">https://developers.facebook.com/apps</t>
  </si>
  <si>
    <t xml:space="preserve">1. In the Instagram app: Settings → Account type → switch to Professional (Creator).
2. developers.facebook.com → Create app → use case 'Manage messaging &amp; content on Instagram'.
3. Instagram → 'API setup with Instagram login': copy the INSTAGRAM app ID + INSTAGRAM app secret (NOT the Meta app ID).
4. Business login settings → OAuth redirect URIs → add the instagram URL from sheet 4.
5. App roles → Roles → add your IG account as Instagram Tester, then accept the invite in Instagram (Settings → Apps and websites → Tester invites).</t>
  </si>
  <si>
    <t xml:space="preserve">Keep the app in Development mode: it only works for your own accounts, which is all you need. Limit is 50 posts per 24 h.</t>
  </si>
  <si>
    <t xml:space="preserve">Facebook Page Reels</t>
  </si>
  <si>
    <t xml:space="preserve">META_APP_ID
META_APP_SECRET</t>
  </si>
  <si>
    <t xml:space="preserve">1. Create a Facebook PAGE for your brand (a personal profile can't post via API).
2. Same portal → Create app (or add a use case to the same app) → 'Manage everything on your Page'.
3. Facebook Login for Business → Settings → Valid OAuth Redirect URIs → add the facebook URL from sheet 4.
4. App settings → Basic → copy App ID + App Secret.</t>
  </si>
  <si>
    <t xml:space="preserve">Development mode works for Pages you admin. Reels monetization requires meeting Facebook's eligibility thresholds.</t>
  </si>
  <si>
    <t xml:space="preserve">Threads</t>
  </si>
  <si>
    <t xml:space="preserve">THREADS_APP_ID
THREADS_APP_SECRET</t>
  </si>
  <si>
    <t xml:space="preserve">1. Create app → use case 'Access the Threads API'.
2. Use cases → Customize → Settings: add the threads URL from sheet 4 as the redirect callback. Put your app URL in the Uninstall and Delete callback fields.
3. App roles → add yourself as Threads Tester and accept in the Threads app (Settings → Account → Website permissions).
4. Copy the THREADS App ID + THREADS App secret from the same Settings page.</t>
  </si>
  <si>
    <t xml:space="preserve">Threads pays creators nothing in India. Use it only for reach.</t>
  </si>
  <si>
    <t xml:space="preserve">LinkedIn</t>
  </si>
  <si>
    <t xml:space="preserve">LINKEDIN_CLIENT_ID
LINKEDIN_CLIENT_SECRET</t>
  </si>
  <si>
    <t xml:space="preserve">https://www.linkedin.com/developers/apps</t>
  </si>
  <si>
    <t xml:space="preserve">1. Create a LinkedIn Company Page for your brand (an app must be linked to one).
2. Create app → choose that page → upload a logo.
3. Products tab → request 'Sign In with LinkedIn using OpenID Connect' AND 'Share on LinkedIn' (both instant).
4. Auth tab → Authorized redirect URLs → add the linkedin URL from sheet 4.
5. Copy the Client ID + Primary Client Secret.</t>
  </si>
  <si>
    <t xml:space="preserve">Self-serve apps get 60-day tokens with no refresh. You must click Reconnect about every 60 days.</t>
  </si>
  <si>
    <t xml:space="preserve">Telegram channel</t>
  </si>
  <si>
    <t xml:space="preserve">TELEGRAM_BOT_TOKEN
TELEGRAM_CHAT_ID</t>
  </si>
  <si>
    <t xml:space="preserve">App → Connections page
(or Vercel env)</t>
  </si>
  <si>
    <t xml:space="preserve">https://t.me/BotFather</t>
  </si>
  <si>
    <t xml:space="preserve">1. In Telegram, open @BotFather → /newbot → give it a name → copy the token.
2. Create a PUBLIC channel, e.g. @yourbrand.
3. Channel → Administrators → Add admin → your bot → allow 'Post messages'.
4. In the app's Connections page, enter the token + chat ID = @yourchannel.</t>
  </si>
  <si>
    <t xml:space="preserve">Free, with no app review. Telegram ad revenue sharing needs 1,000+ subscribers.</t>
  </si>
  <si>
    <t xml:space="preserve">Bluesky</t>
  </si>
  <si>
    <t xml:space="preserve">BLUESKY_HANDLE
BLUESKY_APP_PASSWORD</t>
  </si>
  <si>
    <t xml:space="preserve">https://bsky.app/settings/app-passwords</t>
  </si>
  <si>
    <t xml:space="preserve">1. Create an account at bsky.app.
2. Settings → Privacy and security → App passwords → Add → name it 'shorts'.
3. In the app's Connections page, enter your handle (name.bsky.social) + that app password.</t>
  </si>
  <si>
    <t xml:space="preserve">Free, with no review. No monetization; reach only.</t>
  </si>
  <si>
    <t xml:space="preserve">Pinterest</t>
  </si>
  <si>
    <t xml:space="preserve">PINTEREST_APP_ID
PINTEREST_APP_SECRET</t>
  </si>
  <si>
    <t xml:space="preserve">https://developers.pinterest.com/apps/</t>
  </si>
  <si>
    <t xml:space="preserve">1. Convert your Pinterest account to a Business account.
2. Create at least 1 board (e.g. 'AI News').
3. Developers portal → Connect app → fill in the form → wait for Trial access approval.
4. Add the pinterest URL from sheet 4 as the redirect URI.
5. Copy the App ID + App secret.
6. Apply for Standard access (they ask for a short screen recording of the app).</t>
  </si>
  <si>
    <t xml:space="preserve">Trial access is restricted. Real publishing needs Standard access approval.</t>
  </si>
  <si>
    <t xml:space="preserve">X (Twitter)</t>
  </si>
  <si>
    <t xml:space="preserve">X_CLIENT_ID
X_CLIENT_SECRET</t>
  </si>
  <si>
    <t xml:space="preserve">PAID</t>
  </si>
  <si>
    <t xml:space="preserve">https://developer.x.com/</t>
  </si>
  <si>
    <t xml:space="preserve">1. developer.x.com → Developer portal → create a project + app.
2. User authentication settings → OAuth 2.0 → Type 'Web App', permissions 'Read and write'.
3. Callback URL = the x URL from sheet 4. Website URL = your app URL.
4. Keys and tokens → copy the OAuth 2.0 Client ID + Client Secret.</t>
  </si>
  <si>
    <t xml:space="preserve">Posting video through the X API needs a PAID tier. Skip this until you decide to pay; everything else works without it.</t>
  </si>
  <si>
    <t xml:space="preserve">Skipped</t>
  </si>
  <si>
    <t xml:space="preserve">3 Optional</t>
  </si>
  <si>
    <t xml:space="preserve">Pexels (real stock B-roll)</t>
  </si>
  <si>
    <t xml:space="preserve">PEXELS_API_KEY</t>
  </si>
  <si>
    <t xml:space="preserve">https://www.pexels.com/api/</t>
  </si>
  <si>
    <t xml:space="preserve">1. Sign up.
2. Click 'Your API Key' and fill in a one-line description.
3. Copy the key.</t>
  </si>
  <si>
    <t xml:space="preserve">Without it, B-roll falls back to AI images (weaker).</t>
  </si>
  <si>
    <t xml:space="preserve">Pixabay (backup B-roll)</t>
  </si>
  <si>
    <t xml:space="preserve">PIXABAY_API_KEY</t>
  </si>
  <si>
    <t xml:space="preserve">https://pixabay.com/api/docs/</t>
  </si>
  <si>
    <t xml:space="preserve">1. Log in.
2. Open the docs page. Your key is shown in green next to the 'key' parameter.</t>
  </si>
  <si>
    <t xml:space="preserve">Cerebras (backup AI)</t>
  </si>
  <si>
    <t xml:space="preserve">CEREBRAS_API_KEY</t>
  </si>
  <si>
    <t xml:space="preserve">https://cloud.cerebras.ai/</t>
  </si>
  <si>
    <t xml:space="preserve">Sign up → API Keys → Generate.</t>
  </si>
  <si>
    <t xml:space="preserve">Rate-limited.</t>
  </si>
  <si>
    <t xml:space="preserve">OpenRouter (backup AI)</t>
  </si>
  <si>
    <t xml:space="preserve">OPENROUTER_API_KEY</t>
  </si>
  <si>
    <t xml:space="preserve">Free (:free models)</t>
  </si>
  <si>
    <t xml:space="preserve">https://openrouter.ai/keys</t>
  </si>
  <si>
    <t xml:space="preserve">Sign in → Keys → Create key.</t>
  </si>
  <si>
    <t xml:space="preserve">:free models have a small daily cap.</t>
  </si>
  <si>
    <t xml:space="preserve">NVIDIA NIM (backup AI)</t>
  </si>
  <si>
    <t xml:space="preserve">NVIDIA_API_KEY</t>
  </si>
  <si>
    <t xml:space="preserve">Free trial</t>
  </si>
  <si>
    <t xml:space="preserve">https://build.nvidia.com/</t>
  </si>
  <si>
    <t xml:space="preserve">Sign in → open any model → 'Get API Key' → copy (starts with nvapi-).</t>
  </si>
  <si>
    <t xml:space="preserve">Trial terms are for evaluation, not production. It's a backup, not your main AI.</t>
  </si>
  <si>
    <t xml:space="preserve">Kaggle (free GPU for lip-sync)</t>
  </si>
  <si>
    <t xml:space="preserve">KAGGLE_USERNAME
KAGGLE_KEY</t>
  </si>
  <si>
    <t xml:space="preserve">https://www.kaggle.com/settings</t>
  </si>
  <si>
    <t xml:space="preserve">1. Sign up → Settings → Phone verification (required for GPU).
2. Settings → API → 'Create New Token' downloads kaggle.json.
3. Open it: copy 'username' and 'key' into 2 GitHub secrets.</t>
  </si>
  <si>
    <t xml:space="preserve">About 30 GPU hours per week. Faster and more natural than the CPU worker, but still a quota.</t>
  </si>
  <si>
    <t xml:space="preserve">Trend region</t>
  </si>
  <si>
    <t xml:space="preserve">TRENDS_GEO</t>
  </si>
  <si>
    <t xml:space="preserve">Default is IN (India). Set this only for another region, e.g. US.</t>
  </si>
  <si>
    <t xml:space="preserve">Step</t>
  </si>
  <si>
    <t xml:space="preserve">Where</t>
  </si>
  <si>
    <t xml:space="preserve">What to do</t>
  </si>
  <si>
    <t xml:space="preserve">Needs rows (sheet 1)</t>
  </si>
  <si>
    <t xml:space="preserve">Your PC</t>
  </si>
  <si>
    <t xml:space="preserve">Generate the 3 random secrets (APP_SECRET, CRON_SECRET, WORKER_SECRET). Keep them in a password manager, NOT in this file.</t>
  </si>
  <si>
    <t xml:space="preserve">3, 4, 5</t>
  </si>
  <si>
    <t xml:space="preserve">Browser</t>
  </si>
  <si>
    <t xml:space="preserve">Get the Gemini + Groq keys and create the GitHub token.</t>
  </si>
  <si>
    <t xml:space="preserve">10, 11, 12</t>
  </si>
  <si>
    <t xml:space="preserve">Vercel</t>
  </si>
  <si>
    <t xml:space="preserve">Open the import link: https://vercel.com/new/import?s=https://github.com/kashyapphassan2000-netizen/SOCIAL-MEDIA-AUTOMATION-
Click Import. Framework is auto-detected (Next.js). Before clicking Deploy, open 'Environment Variables' and add: APP_SECRET, CRON_SECRET, WORKER_SECRET, OWNER_EMAIL, OWNER_PASSWORD, OWNER_NAME, GEMINI_API_KEY, GROQ_API_KEY, GH_DISPATCH_TOKEN, GITHUB_REPO. Then click Deploy.</t>
  </si>
  <si>
    <t xml:space="preserve">2-6, 10-13</t>
  </si>
  <si>
    <t xml:space="preserve">Vercel → Storage</t>
  </si>
  <si>
    <t xml:space="preserve">Add Upstash Redis + Blob and connect both to the project. The first deploy may show errors until this is done; that's expected.</t>
  </si>
  <si>
    <t xml:space="preserve">8, 9</t>
  </si>
  <si>
    <t xml:space="preserve">Vercel → Settings</t>
  </si>
  <si>
    <t xml:space="preserve">Copy the production URL → add the APP_URL variable → Deployments tab → ⋯ on the latest → Redeploy.</t>
  </si>
  <si>
    <t xml:space="preserve">7</t>
  </si>
  <si>
    <t xml:space="preserve">This file</t>
  </si>
  <si>
    <t xml:space="preserve">Paste the URL into the yellow cell on 'Start Here'. Sheet 4 then shows every exact callback URL to paste into the platform consoles.</t>
  </si>
  <si>
    <t xml:space="preserve">GitHub</t>
  </si>
  <si>
    <t xml:space="preserve">Add the repo secrets APP_URL, CRON_SECRET, WORKER_SECRET (+ KAGGLE_USERNAME / KAGGLE_KEY if you use Kaggle).</t>
  </si>
  <si>
    <t xml:space="preserve">14, 30</t>
  </si>
  <si>
    <t xml:space="preserve">GitHub → Actions tab</t>
  </si>
  <si>
    <t xml:space="preserve">If you see 'Workflows aren't being run', click Enable. Then open 'autopilot-heartbeat' → Run workflow once → it should go green.</t>
  </si>
  <si>
    <t xml:space="preserve">14</t>
  </si>
  <si>
    <t xml:space="preserve">Your app</t>
  </si>
  <si>
    <t xml:space="preserve">Open APP_URL → log in with OWNER_EMAIL / OWNER_PASSWORD → Health tab. Every red line tells you exactly what's missing; fix those first.</t>
  </si>
  <si>
    <t xml:space="preserve">Platform consoles</t>
  </si>
  <si>
    <t xml:space="preserve">Create the platform apps (sheet 1, rows 15-24) using the callback URLs from sheet 4. Add their variables in Vercel → Redeploy.</t>
  </si>
  <si>
    <t xml:space="preserve">15-24</t>
  </si>
  <si>
    <t xml:space="preserve">Phone</t>
  </si>
  <si>
    <t xml:space="preserve">Open APP_URL in Chrome → ⋮ menu → 'Add to Home screen'. It installs like an app (PWA).</t>
  </si>
  <si>
    <t xml:space="preserve">Windows PC (optional)</t>
  </si>
  <si>
    <t xml:space="preserve">With an NVIDIA GPU: download ShortsAutopilotStudio-Setup from https://github.com/kashyapphassan2000-netizen/SOCIAL-MEDIA-AUTOMATION-/actions/workflows/studio.yml → latest green run → Artifacts. Install it, enter APP_URL + WORKER_SECRET, and start the worker. This is the ONLY truly unlimited free path for natural lip-sync.</t>
  </si>
  <si>
    <t xml:space="preserve">5, 7</t>
  </si>
  <si>
    <t xml:space="preserve">Where in the app</t>
  </si>
  <si>
    <t xml:space="preserve">Why it matters</t>
  </si>
  <si>
    <t xml:space="preserve">Connections</t>
  </si>
  <si>
    <t xml:space="preserve">Click Connect for YouTube (Google). On 'Google hasn't verified this app' click Advanced → Continue. This also enables Sheets logging.</t>
  </si>
  <si>
    <t xml:space="preserve">Only you can log in. Passwords and 2FA can't be automated, by design.</t>
  </si>
  <si>
    <t xml:space="preserve">Connect Instagram, Facebook, Threads, LinkedIn, Pinterest (and X if you pay).</t>
  </si>
  <si>
    <t xml:space="preserve">Each platform only accepts posts from a logged-in account.</t>
  </si>
  <si>
    <t xml:space="preserve">Paste Telegram (bot token + @channel) and Bluesky (handle + app password).</t>
  </si>
  <si>
    <t xml:space="preserve">These use tokens, not OAuth login.</t>
  </si>
  <si>
    <t xml:space="preserve">Studio</t>
  </si>
  <si>
    <t xml:space="preserve">Upload 1 photo: front-facing, good daylight, shoulders up, vertical, sharp.</t>
  </si>
  <si>
    <t xml:space="preserve">Thumbnail + fallback avatar.</t>
  </si>
  <si>
    <t xml:space="preserve">Upload a 30-60 s voice clip: quiet room, phone close to your mouth, normal speaking speed, no music, no echo.</t>
  </si>
  <si>
    <t xml:space="preserve">The voice clone copies the noise too. Bad input = robotic voice.</t>
  </si>
  <si>
    <t xml:space="preserve">Studio → Performance clips</t>
  </si>
  <si>
    <t xml:space="preserve">Upload 3-5 vertical clips of 10-20 s each: you talking to the camera, hands visible, DIFFERENT shirts and backgrounds, natural gestures.</t>
  </si>
  <si>
    <t xml:space="preserve">MOST IMPORTANT STEP. The app lip-syncs your new voice onto these real clips. That's what makes it look human. A single photo will look like AI.</t>
  </si>
  <si>
    <t xml:space="preserve">Settings → Brand engine</t>
  </si>
  <si>
    <t xml:space="preserve">Fill in: Brand name · Brand promise (e.g. 'AI news for Indian engineers in 30 seconds') · Spoken signature (your fixed last line) · Brand hashtag · turn on B-roll, punch-ins, SFX, first comment.</t>
  </si>
  <si>
    <t xml:space="preserve">Same promise + same sign-off every day = people remember you. This is the brand.</t>
  </si>
  <si>
    <t xml:space="preserve">Schedules → New</t>
  </si>
  <si>
    <t xml:space="preserve">Name 'AI News', topic 'AI news', series name (e.g. 'AI in 30'), every 2-4 hours to start, length 32 s, all connected platforms, Publish mode = PRIVATE for the first runs.</t>
  </si>
  <si>
    <t xml:space="preserve">Private mode lets you check quality before anything goes public.</t>
  </si>
  <si>
    <t xml:space="preserve">Overview</t>
  </si>
  <si>
    <t xml:space="preserve">Click 'Run now' → watch the job stages → open the finished video on YouTube (private). Check: voice sounds like you? lips in sync? captions readable?</t>
  </si>
  <si>
    <t xml:space="preserve">Never go live on a pipeline you haven't watched end to end.</t>
  </si>
  <si>
    <t xml:space="preserve">Schedules</t>
  </si>
  <si>
    <t xml:space="preserve">Happy with 3 test videos → switch Publish mode to LIVE.</t>
  </si>
  <si>
    <t xml:space="preserve">From here it runs hands-free.</t>
  </si>
  <si>
    <t xml:space="preserve">Google (YouTube)</t>
  </si>
  <si>
    <t xml:space="preserve">Submit the YouTube API audit form, and request a quota increase in it.</t>
  </si>
  <si>
    <t xml:space="preserve">Until approved, YouTube uploads stay private and you're capped at about 6 uploads/day.</t>
  </si>
  <si>
    <t xml:space="preserve">Google Sheet</t>
  </si>
  <si>
    <t xml:space="preserve">After 3+ days: read the 'Performance' tab. After 6+ measured posts, the app starts favouring your best hook styles by itself.</t>
  </si>
  <si>
    <t xml:space="preserve">The algorithm can't be forced. Retention + consistency + learning from your own numbers is the lever.</t>
  </si>
  <si>
    <t xml:space="preserve">Platform</t>
  </si>
  <si>
    <t xml:space="preserve">Paste this exact URL in that platform's console</t>
  </si>
  <si>
    <t xml:space="preserve">Where to paste it</t>
  </si>
  <si>
    <t xml:space="preserve">google</t>
  </si>
  <si>
    <t xml:space="preserve">Google Cloud → Google Auth Platform → Clients → your Web client → Authorized redirect URIs</t>
  </si>
  <si>
    <t xml:space="preserve">instagram</t>
  </si>
  <si>
    <t xml:space="preserve">Meta app → Instagram → API setup with Instagram login → Business login settings → OAuth redirect URIs</t>
  </si>
  <si>
    <t xml:space="preserve">facebook</t>
  </si>
  <si>
    <t xml:space="preserve">Meta app → Facebook Login for Business → Settings → Valid OAuth Redirect URIs</t>
  </si>
  <si>
    <t xml:space="preserve">threads</t>
  </si>
  <si>
    <t xml:space="preserve">Meta app → Threads use case → Settings → Redirect Callback URLs</t>
  </si>
  <si>
    <t xml:space="preserve">linkedin</t>
  </si>
  <si>
    <t xml:space="preserve">LinkedIn app → Auth → Authorized redirect URLs for your app</t>
  </si>
  <si>
    <t xml:space="preserve">pinterest</t>
  </si>
  <si>
    <t xml:space="preserve">Pinterest app → Configure → Redirect URIs</t>
  </si>
  <si>
    <t xml:space="preserve">x</t>
  </si>
  <si>
    <t xml:space="preserve">X developer portal → App → User authentication settings → Callback URI</t>
  </si>
</sst>
</file>

<file path=xl/styles.xml><?xml version="1.0" encoding="utf-8"?>
<styleSheet xmlns="http://schemas.openxmlformats.org/spreadsheetml/2006/main">
  <numFmts count="3">
    <numFmt numFmtId="164" formatCode="General"/>
    <numFmt numFmtId="165" formatCode="General"/>
    <numFmt numFmtId="166" formatCode="0%"/>
  </numFmts>
  <fonts count="15">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i val="true"/>
      <sz val="10"/>
      <color rgb="FF555555"/>
      <name val="Arial"/>
      <family val="0"/>
      <charset val="1"/>
    </font>
    <font>
      <b val="true"/>
      <sz val="10"/>
      <name val="Arial"/>
      <family val="0"/>
      <charset val="1"/>
    </font>
    <font>
      <b val="true"/>
      <sz val="10"/>
      <color rgb="FF0000FF"/>
      <name val="Arial"/>
      <family val="0"/>
      <charset val="1"/>
    </font>
    <font>
      <i val="true"/>
      <sz val="9"/>
      <color rgb="FF777777"/>
      <name val="Arial"/>
      <family val="0"/>
      <charset val="1"/>
    </font>
    <font>
      <sz val="10"/>
      <name val="Arial"/>
      <family val="0"/>
      <charset val="1"/>
    </font>
    <font>
      <b val="true"/>
      <sz val="10"/>
      <color rgb="FFC00000"/>
      <name val="Arial"/>
      <family val="0"/>
      <charset val="1"/>
    </font>
    <font>
      <b val="true"/>
      <sz val="10"/>
      <color rgb="FFFFFFFF"/>
      <name val="Arial"/>
      <family val="0"/>
      <charset val="1"/>
    </font>
    <font>
      <b val="true"/>
      <sz val="10"/>
      <name val="Consolas"/>
      <family val="0"/>
      <charset val="1"/>
    </font>
    <font>
      <u val="single"/>
      <sz val="10"/>
      <color rgb="FF0563C1"/>
      <name val="Arial"/>
      <family val="0"/>
      <charset val="1"/>
    </font>
    <font>
      <sz val="10"/>
      <name val="Arial"/>
      <family val="2"/>
    </font>
  </fonts>
  <fills count="7">
    <fill>
      <patternFill patternType="none"/>
    </fill>
    <fill>
      <patternFill patternType="gray125"/>
    </fill>
    <fill>
      <patternFill patternType="solid">
        <fgColor rgb="FFFFFF00"/>
        <bgColor rgb="FFFFFF00"/>
      </patternFill>
    </fill>
    <fill>
      <patternFill patternType="solid">
        <fgColor rgb="FFFDE2E2"/>
        <bgColor rgb="FFEEEEEE"/>
      </patternFill>
    </fill>
    <fill>
      <patternFill patternType="solid">
        <fgColor rgb="FFE0ECFF"/>
        <bgColor rgb="FFEEEEEE"/>
      </patternFill>
    </fill>
    <fill>
      <patternFill patternType="solid">
        <fgColor rgb="FFEEEEEE"/>
        <bgColor rgb="FFE0ECFF"/>
      </patternFill>
    </fill>
    <fill>
      <patternFill patternType="solid">
        <fgColor rgb="FF1F2937"/>
        <bgColor rgb="FF333300"/>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left"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left"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bgColor rgb="FFC6EFCE"/>
        </patternFill>
      </fill>
    </dxf>
    <dxf>
      <fill>
        <patternFill patternType="solid">
          <fgColor rgb="FF1F2937"/>
          <bgColor rgb="FF000000"/>
        </patternFill>
      </fill>
    </dxf>
    <dxf>
      <fill>
        <patternFill patternType="solid">
          <bgColor rgb="FF000000"/>
        </patternFill>
      </fill>
    </dxf>
    <dxf>
      <fill>
        <patternFill patternType="solid">
          <fgColor rgb="FFFFFFFF"/>
          <bgColor rgb="FF000000"/>
        </patternFill>
      </fill>
    </dxf>
    <dxf>
      <fill>
        <patternFill patternType="solid">
          <fgColor rgb="FFE0ECFF"/>
          <bgColor rgb="FF000000"/>
        </patternFill>
      </fill>
    </dxf>
    <dxf>
      <fill>
        <patternFill patternType="solid">
          <fgColor rgb="FFEEEEEE"/>
          <bgColor rgb="FF000000"/>
        </patternFill>
      </fill>
    </dxf>
    <dxf>
      <fill>
        <patternFill patternType="solid">
          <fgColor rgb="FFFDE2E2"/>
          <bgColor rgb="FF000000"/>
        </patternFill>
      </fill>
    </dxf>
    <dxf>
      <fill>
        <patternFill patternType="solid">
          <fgColor rgb="FF0563C1"/>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FFFF00"/>
          <bgColor rgb="FF000000"/>
        </patternFill>
      </fill>
    </dxf>
    <dxf>
      <fill>
        <patternFill patternType="solid">
          <fgColor rgb="FF0000FF"/>
          <bgColor rgb="FF000000"/>
        </patternFill>
      </fill>
    </dxf>
    <dxf>
      <fill>
        <patternFill>
          <bgColor rgb="FFFFEB9C"/>
        </patternFill>
      </fill>
    </dxf>
    <dxf>
      <fill>
        <patternFill>
          <bgColor rgb="FFD9D9D9"/>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D9D9D9"/>
      <rgbColor rgb="FF7F7F7F"/>
      <rgbColor rgb="FF9999FF"/>
      <rgbColor rgb="FF993366"/>
      <rgbColor rgb="FFEEEEEE"/>
      <rgbColor rgb="FFE0ECFF"/>
      <rgbColor rgb="FF660066"/>
      <rgbColor rgb="FFFF8080"/>
      <rgbColor rgb="FF0563C1"/>
      <rgbColor rgb="FFD1D5DB"/>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DE2E2"/>
      <rgbColor rgb="FF2F75B5"/>
      <rgbColor rgb="FF33CCCC"/>
      <rgbColor rgb="FF99CC00"/>
      <rgbColor rgb="FFFFC000"/>
      <rgbColor rgb="FFFF9900"/>
      <rgbColor rgb="FFFF6600"/>
      <rgbColor rgb="FF777777"/>
      <rgbColor rgb="FF969696"/>
      <rgbColor rgb="FF003366"/>
      <rgbColor rgb="FF339966"/>
      <rgbColor rgb="FF003300"/>
      <rgbColor rgb="FF333300"/>
      <rgbColor rgb="FF993300"/>
      <rgbColor rgb="FF993366"/>
      <rgbColor rgb="FF555555"/>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github.com/kashyapphassan2000-netizen/SOCIAL-MEDIA-AUTOMATION-" TargetMode="External"/><Relationship Id="rId3" Type="http://schemas.openxmlformats.org/officeDocument/2006/relationships/hyperlink" Target="https://vercel.com/signup" TargetMode="External"/><Relationship Id="rId4" Type="http://schemas.openxmlformats.org/officeDocument/2006/relationships/hyperlink" Target="https://vercel.com/marketplace/upstash" TargetMode="External"/><Relationship Id="rId5" Type="http://schemas.openxmlformats.org/officeDocument/2006/relationships/hyperlink" Target="https://vercel.com/docs/vercel-blob" TargetMode="External"/><Relationship Id="rId6" Type="http://schemas.openxmlformats.org/officeDocument/2006/relationships/hyperlink" Target="https://aistudio.google.com/apikey" TargetMode="External"/><Relationship Id="rId7" Type="http://schemas.openxmlformats.org/officeDocument/2006/relationships/hyperlink" Target="https://console.groq.com/keys" TargetMode="External"/><Relationship Id="rId8" Type="http://schemas.openxmlformats.org/officeDocument/2006/relationships/hyperlink" Target="https://github.com/settings/personal-access-tokens/new" TargetMode="External"/><Relationship Id="rId9" Type="http://schemas.openxmlformats.org/officeDocument/2006/relationships/hyperlink" Target="https://github.com/kashyapphassan2000-netizen/SOCIAL-MEDIA-AUTOMATION-/settings/secrets/actions" TargetMode="External"/><Relationship Id="rId10" Type="http://schemas.openxmlformats.org/officeDocument/2006/relationships/hyperlink" Target="https://console.cloud.google.com/" TargetMode="External"/><Relationship Id="rId11" Type="http://schemas.openxmlformats.org/officeDocument/2006/relationships/hyperlink" Target="https://sheets.new/" TargetMode="External"/><Relationship Id="rId12" Type="http://schemas.openxmlformats.org/officeDocument/2006/relationships/hyperlink" Target="https://developers.facebook.com/apps" TargetMode="External"/><Relationship Id="rId13" Type="http://schemas.openxmlformats.org/officeDocument/2006/relationships/hyperlink" Target="https://developers.facebook.com/apps" TargetMode="External"/><Relationship Id="rId14" Type="http://schemas.openxmlformats.org/officeDocument/2006/relationships/hyperlink" Target="https://developers.facebook.com/apps" TargetMode="External"/><Relationship Id="rId15" Type="http://schemas.openxmlformats.org/officeDocument/2006/relationships/hyperlink" Target="https://www.linkedin.com/developers/apps" TargetMode="External"/><Relationship Id="rId16" Type="http://schemas.openxmlformats.org/officeDocument/2006/relationships/hyperlink" Target="https://t.me/BotFather" TargetMode="External"/><Relationship Id="rId17" Type="http://schemas.openxmlformats.org/officeDocument/2006/relationships/hyperlink" Target="https://bsky.app/settings/app-passwords" TargetMode="External"/><Relationship Id="rId18" Type="http://schemas.openxmlformats.org/officeDocument/2006/relationships/hyperlink" Target="https://developers.pinterest.com/apps/" TargetMode="External"/><Relationship Id="rId19" Type="http://schemas.openxmlformats.org/officeDocument/2006/relationships/hyperlink" Target="https://developer.x.com/" TargetMode="External"/><Relationship Id="rId20" Type="http://schemas.openxmlformats.org/officeDocument/2006/relationships/hyperlink" Target="https://www.pexels.com/api/" TargetMode="External"/><Relationship Id="rId21" Type="http://schemas.openxmlformats.org/officeDocument/2006/relationships/hyperlink" Target="https://pixabay.com/api/docs/" TargetMode="External"/><Relationship Id="rId22" Type="http://schemas.openxmlformats.org/officeDocument/2006/relationships/hyperlink" Target="https://cloud.cerebras.ai/" TargetMode="External"/><Relationship Id="rId23" Type="http://schemas.openxmlformats.org/officeDocument/2006/relationships/hyperlink" Target="https://openrouter.ai/keys" TargetMode="External"/><Relationship Id="rId24" Type="http://schemas.openxmlformats.org/officeDocument/2006/relationships/hyperlink" Target="https://build.nvidia.com/" TargetMode="External"/><Relationship Id="rId25" Type="http://schemas.openxmlformats.org/officeDocument/2006/relationships/hyperlink" Target="https://www.kaggle.com/settings" TargetMode="External"/><Relationship Id="rId26" Type="http://schemas.openxmlformats.org/officeDocument/2006/relationships/drawing" Target="../drawings/drawing1.xml"/><Relationship Id="rId27"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2:E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62"/>
    <col collapsed="false" customWidth="true" hidden="false" outlineLevel="0" max="5" min="4" style="0" width="16"/>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3" t="s">
        <v>3</v>
      </c>
      <c r="C6" s="4"/>
      <c r="D6" s="5" t="s">
        <v>4</v>
      </c>
    </row>
    <row r="8" customFormat="false" ht="15" hidden="false" customHeight="false" outlineLevel="0" collapsed="false">
      <c r="B8" s="6" t="s">
        <v>5</v>
      </c>
      <c r="C8" s="7" t="s">
        <v>6</v>
      </c>
    </row>
    <row r="9" customFormat="false" ht="15" hidden="false" customHeight="false" outlineLevel="0" collapsed="false">
      <c r="B9" s="8" t="s">
        <v>7</v>
      </c>
      <c r="C9" s="7" t="s">
        <v>8</v>
      </c>
    </row>
    <row r="10" customFormat="false" ht="15" hidden="false" customHeight="false" outlineLevel="0" collapsed="false">
      <c r="B10" s="9" t="s">
        <v>9</v>
      </c>
      <c r="C10" s="7" t="s">
        <v>10</v>
      </c>
    </row>
    <row r="11" customFormat="false" ht="15" hidden="false" customHeight="false" outlineLevel="0" collapsed="false">
      <c r="B11" s="10" t="s">
        <v>11</v>
      </c>
      <c r="C11" s="7" t="s">
        <v>12</v>
      </c>
    </row>
    <row r="12" customFormat="false" ht="27.75" hidden="false" customHeight="true" outlineLevel="0" collapsed="false">
      <c r="B12" s="11" t="s">
        <v>13</v>
      </c>
      <c r="C12" s="7" t="s">
        <v>14</v>
      </c>
    </row>
    <row r="14" customFormat="false" ht="15" hidden="false" customHeight="false" outlineLevel="0" collapsed="false">
      <c r="B14" s="3" t="s">
        <v>15</v>
      </c>
    </row>
    <row r="15" customFormat="false" ht="15" hidden="false" customHeight="false" outlineLevel="0" collapsed="false">
      <c r="B15" s="12" t="s">
        <v>16</v>
      </c>
      <c r="C15" s="12" t="s">
        <v>17</v>
      </c>
      <c r="D15" s="12" t="s">
        <v>18</v>
      </c>
      <c r="E15" s="12" t="s">
        <v>19</v>
      </c>
    </row>
    <row r="16" customFormat="false" ht="15" hidden="false" customHeight="false" outlineLevel="0" collapsed="false">
      <c r="B16" s="13" t="s">
        <v>20</v>
      </c>
      <c r="C16" s="14" t="n">
        <f aca="false">COUNTIF('1 Keys &amp; Accounts'!$B$2:$B$32,"1 Required")</f>
        <v>14</v>
      </c>
      <c r="D16" s="13" t="n">
        <f aca="false">COUNTIFS('1 Keys &amp; Accounts'!$B$2:$B$32,"1 Required",'1 Keys &amp; Accounts'!$J$2:$J$32,"Done")</f>
        <v>1</v>
      </c>
      <c r="E16" s="15" t="n">
        <f aca="false">IF(C16=0,0,D16/C16)</f>
        <v>0.0714285714285714</v>
      </c>
    </row>
    <row r="17" customFormat="false" ht="15" hidden="false" customHeight="false" outlineLevel="0" collapsed="false">
      <c r="B17" s="13" t="s">
        <v>21</v>
      </c>
      <c r="C17" s="14" t="n">
        <f aca="false">COUNTIFS('1 Keys &amp; Accounts'!$B$2:$B$32,"2 Platform",'1 Keys &amp; Accounts'!$J$2:$J$32,"&lt;&gt;Skipped")</f>
        <v>9</v>
      </c>
      <c r="D17" s="13" t="n">
        <f aca="false">COUNTIFS('1 Keys &amp; Accounts'!$B$2:$B$32,"2 Platform",'1 Keys &amp; Accounts'!$J$2:$J$32,"Done")</f>
        <v>0</v>
      </c>
      <c r="E17" s="15" t="n">
        <f aca="false">IF(C17=0,0,D17/C17)</f>
        <v>0</v>
      </c>
    </row>
    <row r="18" customFormat="false" ht="15" hidden="false" customHeight="false" outlineLevel="0" collapsed="false">
      <c r="B18" s="13" t="s">
        <v>22</v>
      </c>
      <c r="C18" s="14" t="n">
        <f aca="false">COUNTIFS('1 Keys &amp; Accounts'!$B$2:$B$32,"3 Optional",'1 Keys &amp; Accounts'!$J$2:$J$32,"&lt;&gt;Skipped")</f>
        <v>6</v>
      </c>
      <c r="D18" s="13" t="n">
        <f aca="false">COUNTIFS('1 Keys &amp; Accounts'!$B$2:$B$32,"3 Optional",'1 Keys &amp; Accounts'!$J$2:$J$32,"Done")</f>
        <v>0</v>
      </c>
      <c r="E18" s="15" t="n">
        <f aca="false">IF(C18=0,0,D18/C18)</f>
        <v>0</v>
      </c>
    </row>
    <row r="19" customFormat="false" ht="15" hidden="false" customHeight="false" outlineLevel="0" collapsed="false">
      <c r="B19" s="13" t="s">
        <v>23</v>
      </c>
      <c r="C19" s="14" t="n">
        <f aca="false">COUNTA('2 Deploy Steps'!$A$2:$A$13)</f>
        <v>12</v>
      </c>
      <c r="D19" s="13" t="n">
        <f aca="false">COUNTIF('2 Deploy Steps'!$E$2:$E$13,"Done")</f>
        <v>0</v>
      </c>
      <c r="E19" s="15" t="n">
        <f aca="false">IF(C19=0,0,D19/C19)</f>
        <v>0</v>
      </c>
    </row>
    <row r="20" customFormat="false" ht="15" hidden="false" customHeight="false" outlineLevel="0" collapsed="false">
      <c r="B20" s="13" t="s">
        <v>24</v>
      </c>
      <c r="C20" s="14" t="n">
        <f aca="false">COUNTA('3 After Deploy'!$A$2:$A$13)</f>
        <v>12</v>
      </c>
      <c r="D20" s="13" t="n">
        <f aca="false">COUNTIF('3 After Deploy'!$E$2:$E$13,"Done")</f>
        <v>0</v>
      </c>
      <c r="E20" s="15" t="n">
        <f aca="false">IF(C20=0,0,D20/C20)</f>
        <v>0</v>
      </c>
    </row>
    <row r="21" customFormat="false" ht="15" hidden="false" customHeight="false" outlineLevel="0" collapsed="false">
      <c r="B21" s="16" t="s">
        <v>25</v>
      </c>
      <c r="C21" s="17" t="n">
        <f aca="false">SUM(C16:C20)</f>
        <v>53</v>
      </c>
      <c r="D21" s="16" t="n">
        <f aca="false">SUM(D16:D20)</f>
        <v>1</v>
      </c>
      <c r="E21" s="18" t="n">
        <f aca="false">IF(C21=0,0,D21/C21)</f>
        <v>0.0188679245283019</v>
      </c>
    </row>
    <row r="22" customFormat="false" ht="15" hidden="false" customHeight="false" outlineLevel="0" collapsed="false">
      <c r="B22" s="5" t="s">
        <v>26</v>
      </c>
    </row>
    <row r="24" customFormat="false" ht="23.85" hidden="false" customHeight="false" outlineLevel="0" collapsed="false">
      <c r="B24" s="3" t="s">
        <v>27</v>
      </c>
      <c r="C24" s="7" t="s">
        <v>28</v>
      </c>
    </row>
    <row r="25" customFormat="false" ht="79.5" hidden="false" customHeight="true" outlineLevel="0" collapsed="false">
      <c r="B25" s="3" t="s">
        <v>29</v>
      </c>
      <c r="C25" s="7" t="s">
        <v>30</v>
      </c>
    </row>
  </sheetData>
  <conditionalFormatting sqref="E16:E21">
    <cfRule type="cellIs" priority="2" operator="equal" aboveAverage="0" equalAverage="0" bottom="0" percent="0" rank="0" text="" dxfId="0">
      <formula>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K3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22"/>
    <col collapsed="false" customWidth="true" hidden="false" outlineLevel="0" max="4" min="4" style="0" width="30"/>
    <col collapsed="false" customWidth="true" hidden="false" outlineLevel="0" max="5" min="5" style="0" width="11"/>
    <col collapsed="false" customWidth="true" hidden="false" outlineLevel="0" max="6" min="6" style="0" width="24"/>
    <col collapsed="false" customWidth="true" hidden="false" outlineLevel="0" max="7" min="7" style="0" width="34"/>
    <col collapsed="false" customWidth="true" hidden="false" outlineLevel="0" max="8" min="8" style="0" width="75"/>
    <col collapsed="false" customWidth="true" hidden="false" outlineLevel="0" max="9" min="9" style="0" width="50"/>
    <col collapsed="false" customWidth="true" hidden="false" outlineLevel="0" max="10" min="10" style="0" width="13"/>
    <col collapsed="false" customWidth="true" hidden="false" outlineLevel="0" max="11" min="11" style="0" width="25"/>
  </cols>
  <sheetData>
    <row r="1" customFormat="false" ht="15" hidden="false" customHeight="false" outlineLevel="0" collapsed="false">
      <c r="A1" s="19" t="s">
        <v>31</v>
      </c>
      <c r="B1" s="19" t="s">
        <v>32</v>
      </c>
      <c r="C1" s="19" t="s">
        <v>33</v>
      </c>
      <c r="D1" s="19" t="s">
        <v>34</v>
      </c>
      <c r="E1" s="19" t="s">
        <v>35</v>
      </c>
      <c r="F1" s="19" t="s">
        <v>36</v>
      </c>
      <c r="G1" s="19" t="s">
        <v>37</v>
      </c>
      <c r="H1" s="19" t="s">
        <v>38</v>
      </c>
      <c r="I1" s="19" t="s">
        <v>39</v>
      </c>
      <c r="J1" s="19" t="s">
        <v>40</v>
      </c>
      <c r="K1" s="19" t="s">
        <v>41</v>
      </c>
    </row>
    <row r="2" customFormat="false" ht="15" hidden="false" customHeight="false" outlineLevel="0" collapsed="false">
      <c r="A2" s="20" t="n">
        <v>1</v>
      </c>
      <c r="B2" s="21" t="s">
        <v>42</v>
      </c>
      <c r="C2" s="20" t="s">
        <v>43</v>
      </c>
      <c r="D2" s="22" t="s">
        <v>44</v>
      </c>
      <c r="E2" s="20" t="s">
        <v>45</v>
      </c>
      <c r="F2" s="20" t="s">
        <v>44</v>
      </c>
      <c r="G2" s="23" t="s">
        <v>46</v>
      </c>
      <c r="H2" s="20" t="s">
        <v>47</v>
      </c>
      <c r="I2" s="20" t="s">
        <v>44</v>
      </c>
      <c r="J2" s="24" t="s">
        <v>18</v>
      </c>
      <c r="K2" s="20"/>
    </row>
    <row r="3" customFormat="false" ht="46.25" hidden="false" customHeight="false" outlineLevel="0" collapsed="false">
      <c r="A3" s="20" t="n">
        <v>2</v>
      </c>
      <c r="B3" s="21" t="s">
        <v>42</v>
      </c>
      <c r="C3" s="20" t="s">
        <v>48</v>
      </c>
      <c r="D3" s="22" t="s">
        <v>44</v>
      </c>
      <c r="E3" s="20" t="s">
        <v>49</v>
      </c>
      <c r="F3" s="20" t="s">
        <v>44</v>
      </c>
      <c r="G3" s="23" t="s">
        <v>50</v>
      </c>
      <c r="H3" s="20" t="s">
        <v>51</v>
      </c>
      <c r="I3" s="20" t="s">
        <v>52</v>
      </c>
      <c r="J3" s="24" t="s">
        <v>53</v>
      </c>
      <c r="K3" s="20"/>
    </row>
    <row r="4" customFormat="false" ht="46.25" hidden="false" customHeight="false" outlineLevel="0" collapsed="false">
      <c r="A4" s="20" t="n">
        <v>3</v>
      </c>
      <c r="B4" s="21" t="s">
        <v>42</v>
      </c>
      <c r="C4" s="20" t="s">
        <v>54</v>
      </c>
      <c r="D4" s="22" t="s">
        <v>55</v>
      </c>
      <c r="E4" s="20" t="s">
        <v>45</v>
      </c>
      <c r="F4" s="20" t="s">
        <v>56</v>
      </c>
      <c r="G4" s="20"/>
      <c r="H4" s="20" t="s">
        <v>57</v>
      </c>
      <c r="I4" s="20" t="s">
        <v>58</v>
      </c>
      <c r="J4" s="24" t="s">
        <v>53</v>
      </c>
      <c r="K4" s="20"/>
    </row>
    <row r="5" customFormat="false" ht="57.45" hidden="false" customHeight="false" outlineLevel="0" collapsed="false">
      <c r="A5" s="20" t="n">
        <v>4</v>
      </c>
      <c r="B5" s="21" t="s">
        <v>42</v>
      </c>
      <c r="C5" s="20" t="s">
        <v>59</v>
      </c>
      <c r="D5" s="22" t="s">
        <v>60</v>
      </c>
      <c r="E5" s="20" t="s">
        <v>45</v>
      </c>
      <c r="F5" s="20" t="s">
        <v>61</v>
      </c>
      <c r="G5" s="20"/>
      <c r="H5" s="20" t="s">
        <v>62</v>
      </c>
      <c r="I5" s="20" t="s">
        <v>63</v>
      </c>
      <c r="J5" s="24" t="s">
        <v>53</v>
      </c>
      <c r="K5" s="20"/>
    </row>
    <row r="6" customFormat="false" ht="57.45" hidden="false" customHeight="false" outlineLevel="0" collapsed="false">
      <c r="A6" s="20" t="n">
        <v>5</v>
      </c>
      <c r="B6" s="21" t="s">
        <v>42</v>
      </c>
      <c r="C6" s="20" t="s">
        <v>64</v>
      </c>
      <c r="D6" s="22" t="s">
        <v>65</v>
      </c>
      <c r="E6" s="20" t="s">
        <v>45</v>
      </c>
      <c r="F6" s="20" t="s">
        <v>61</v>
      </c>
      <c r="G6" s="20"/>
      <c r="H6" s="20" t="s">
        <v>62</v>
      </c>
      <c r="I6" s="20" t="s">
        <v>66</v>
      </c>
      <c r="J6" s="24" t="s">
        <v>53</v>
      </c>
      <c r="K6" s="20"/>
    </row>
    <row r="7" customFormat="false" ht="35.05" hidden="false" customHeight="false" outlineLevel="0" collapsed="false">
      <c r="A7" s="20" t="n">
        <v>6</v>
      </c>
      <c r="B7" s="21" t="s">
        <v>42</v>
      </c>
      <c r="C7" s="20" t="s">
        <v>67</v>
      </c>
      <c r="D7" s="22" t="s">
        <v>68</v>
      </c>
      <c r="E7" s="20" t="s">
        <v>45</v>
      </c>
      <c r="F7" s="20" t="s">
        <v>56</v>
      </c>
      <c r="G7" s="20"/>
      <c r="H7" s="20" t="s">
        <v>69</v>
      </c>
      <c r="I7" s="20" t="s">
        <v>70</v>
      </c>
      <c r="J7" s="24" t="s">
        <v>53</v>
      </c>
      <c r="K7" s="20"/>
    </row>
    <row r="8" customFormat="false" ht="57.45" hidden="false" customHeight="false" outlineLevel="0" collapsed="false">
      <c r="A8" s="20" t="n">
        <v>7</v>
      </c>
      <c r="B8" s="21" t="s">
        <v>42</v>
      </c>
      <c r="C8" s="20" t="s">
        <v>71</v>
      </c>
      <c r="D8" s="22" t="s">
        <v>72</v>
      </c>
      <c r="E8" s="20" t="s">
        <v>45</v>
      </c>
      <c r="F8" s="20" t="s">
        <v>61</v>
      </c>
      <c r="G8" s="20"/>
      <c r="H8" s="20" t="s">
        <v>73</v>
      </c>
      <c r="I8" s="20" t="s">
        <v>74</v>
      </c>
      <c r="J8" s="24" t="s">
        <v>53</v>
      </c>
      <c r="K8" s="20"/>
    </row>
    <row r="9" customFormat="false" ht="68.65" hidden="false" customHeight="false" outlineLevel="0" collapsed="false">
      <c r="A9" s="20" t="n">
        <v>8</v>
      </c>
      <c r="B9" s="21" t="s">
        <v>42</v>
      </c>
      <c r="C9" s="20" t="s">
        <v>75</v>
      </c>
      <c r="D9" s="22" t="s">
        <v>76</v>
      </c>
      <c r="E9" s="20" t="s">
        <v>77</v>
      </c>
      <c r="F9" s="20" t="s">
        <v>78</v>
      </c>
      <c r="G9" s="23" t="s">
        <v>79</v>
      </c>
      <c r="H9" s="20" t="s">
        <v>80</v>
      </c>
      <c r="I9" s="20" t="s">
        <v>81</v>
      </c>
      <c r="J9" s="24" t="s">
        <v>53</v>
      </c>
      <c r="K9" s="20"/>
    </row>
    <row r="10" customFormat="false" ht="35.05" hidden="false" customHeight="false" outlineLevel="0" collapsed="false">
      <c r="A10" s="20" t="n">
        <v>9</v>
      </c>
      <c r="B10" s="21" t="s">
        <v>42</v>
      </c>
      <c r="C10" s="20" t="s">
        <v>82</v>
      </c>
      <c r="D10" s="22" t="s">
        <v>83</v>
      </c>
      <c r="E10" s="20" t="s">
        <v>77</v>
      </c>
      <c r="F10" s="20" t="s">
        <v>78</v>
      </c>
      <c r="G10" s="23" t="s">
        <v>84</v>
      </c>
      <c r="H10" s="20" t="s">
        <v>85</v>
      </c>
      <c r="I10" s="20" t="s">
        <v>86</v>
      </c>
      <c r="J10" s="24" t="s">
        <v>53</v>
      </c>
      <c r="K10" s="20"/>
    </row>
    <row r="11" customFormat="false" ht="35.05" hidden="false" customHeight="false" outlineLevel="0" collapsed="false">
      <c r="A11" s="20" t="n">
        <v>10</v>
      </c>
      <c r="B11" s="21" t="s">
        <v>42</v>
      </c>
      <c r="C11" s="20" t="s">
        <v>87</v>
      </c>
      <c r="D11" s="22" t="s">
        <v>88</v>
      </c>
      <c r="E11" s="20" t="s">
        <v>45</v>
      </c>
      <c r="F11" s="20" t="s">
        <v>56</v>
      </c>
      <c r="G11" s="23" t="s">
        <v>89</v>
      </c>
      <c r="H11" s="20" t="s">
        <v>90</v>
      </c>
      <c r="I11" s="20" t="s">
        <v>91</v>
      </c>
      <c r="J11" s="24" t="s">
        <v>53</v>
      </c>
      <c r="K11" s="20"/>
    </row>
    <row r="12" customFormat="false" ht="35.05" hidden="false" customHeight="false" outlineLevel="0" collapsed="false">
      <c r="A12" s="20" t="n">
        <v>11</v>
      </c>
      <c r="B12" s="21" t="s">
        <v>42</v>
      </c>
      <c r="C12" s="20" t="s">
        <v>92</v>
      </c>
      <c r="D12" s="22" t="s">
        <v>93</v>
      </c>
      <c r="E12" s="20" t="s">
        <v>45</v>
      </c>
      <c r="F12" s="20" t="s">
        <v>56</v>
      </c>
      <c r="G12" s="23" t="s">
        <v>94</v>
      </c>
      <c r="H12" s="20" t="s">
        <v>95</v>
      </c>
      <c r="I12" s="20" t="s">
        <v>96</v>
      </c>
      <c r="J12" s="24" t="s">
        <v>53</v>
      </c>
      <c r="K12" s="20"/>
    </row>
    <row r="13" customFormat="false" ht="68.65" hidden="false" customHeight="false" outlineLevel="0" collapsed="false">
      <c r="A13" s="20" t="n">
        <v>12</v>
      </c>
      <c r="B13" s="21" t="s">
        <v>42</v>
      </c>
      <c r="C13" s="20" t="s">
        <v>97</v>
      </c>
      <c r="D13" s="22" t="s">
        <v>98</v>
      </c>
      <c r="E13" s="20" t="s">
        <v>45</v>
      </c>
      <c r="F13" s="20" t="s">
        <v>56</v>
      </c>
      <c r="G13" s="23" t="s">
        <v>99</v>
      </c>
      <c r="H13" s="20" t="s">
        <v>100</v>
      </c>
      <c r="I13" s="20" t="s">
        <v>101</v>
      </c>
      <c r="J13" s="24" t="s">
        <v>53</v>
      </c>
      <c r="K13" s="20"/>
    </row>
    <row r="14" customFormat="false" ht="23.85" hidden="false" customHeight="false" outlineLevel="0" collapsed="false">
      <c r="A14" s="20" t="n">
        <v>13</v>
      </c>
      <c r="B14" s="21" t="s">
        <v>42</v>
      </c>
      <c r="C14" s="20" t="s">
        <v>102</v>
      </c>
      <c r="D14" s="22" t="s">
        <v>103</v>
      </c>
      <c r="E14" s="20" t="s">
        <v>45</v>
      </c>
      <c r="F14" s="20" t="s">
        <v>56</v>
      </c>
      <c r="G14" s="20"/>
      <c r="H14" s="20" t="s">
        <v>104</v>
      </c>
      <c r="I14" s="20" t="s">
        <v>44</v>
      </c>
      <c r="J14" s="24" t="s">
        <v>53</v>
      </c>
      <c r="K14" s="20"/>
    </row>
    <row r="15" customFormat="false" ht="35.05" hidden="false" customHeight="false" outlineLevel="0" collapsed="false">
      <c r="A15" s="20" t="n">
        <v>14</v>
      </c>
      <c r="B15" s="21" t="s">
        <v>42</v>
      </c>
      <c r="C15" s="20" t="s">
        <v>105</v>
      </c>
      <c r="D15" s="22" t="s">
        <v>106</v>
      </c>
      <c r="E15" s="20" t="s">
        <v>45</v>
      </c>
      <c r="F15" s="20" t="s">
        <v>107</v>
      </c>
      <c r="G15" s="23" t="s">
        <v>108</v>
      </c>
      <c r="H15" s="20" t="s">
        <v>109</v>
      </c>
      <c r="I15" s="20" t="s">
        <v>110</v>
      </c>
      <c r="J15" s="24" t="s">
        <v>53</v>
      </c>
      <c r="K15" s="20"/>
    </row>
    <row r="16" customFormat="false" ht="102.2" hidden="false" customHeight="false" outlineLevel="0" collapsed="false">
      <c r="A16" s="20" t="n">
        <v>15</v>
      </c>
      <c r="B16" s="25" t="s">
        <v>111</v>
      </c>
      <c r="C16" s="20" t="s">
        <v>112</v>
      </c>
      <c r="D16" s="22" t="s">
        <v>113</v>
      </c>
      <c r="E16" s="20" t="s">
        <v>45</v>
      </c>
      <c r="F16" s="20" t="s">
        <v>56</v>
      </c>
      <c r="G16" s="23" t="s">
        <v>114</v>
      </c>
      <c r="H16" s="20" t="s">
        <v>115</v>
      </c>
      <c r="I16" s="20" t="s">
        <v>116</v>
      </c>
      <c r="J16" s="24" t="s">
        <v>53</v>
      </c>
      <c r="K16" s="20"/>
    </row>
    <row r="17" customFormat="false" ht="46.25" hidden="false" customHeight="false" outlineLevel="0" collapsed="false">
      <c r="A17" s="20" t="n">
        <v>16</v>
      </c>
      <c r="B17" s="25" t="s">
        <v>111</v>
      </c>
      <c r="C17" s="20" t="s">
        <v>117</v>
      </c>
      <c r="D17" s="22" t="s">
        <v>118</v>
      </c>
      <c r="E17" s="20" t="s">
        <v>45</v>
      </c>
      <c r="F17" s="20" t="s">
        <v>119</v>
      </c>
      <c r="G17" s="23" t="s">
        <v>120</v>
      </c>
      <c r="H17" s="20" t="s">
        <v>121</v>
      </c>
      <c r="I17" s="20" t="s">
        <v>122</v>
      </c>
      <c r="J17" s="24" t="s">
        <v>53</v>
      </c>
      <c r="K17" s="20"/>
    </row>
    <row r="18" customFormat="false" ht="91" hidden="false" customHeight="false" outlineLevel="0" collapsed="false">
      <c r="A18" s="20" t="n">
        <v>17</v>
      </c>
      <c r="B18" s="25" t="s">
        <v>111</v>
      </c>
      <c r="C18" s="20" t="s">
        <v>123</v>
      </c>
      <c r="D18" s="22" t="s">
        <v>124</v>
      </c>
      <c r="E18" s="20" t="s">
        <v>45</v>
      </c>
      <c r="F18" s="20" t="s">
        <v>56</v>
      </c>
      <c r="G18" s="23" t="s">
        <v>125</v>
      </c>
      <c r="H18" s="20" t="s">
        <v>126</v>
      </c>
      <c r="I18" s="20" t="s">
        <v>127</v>
      </c>
      <c r="J18" s="24" t="s">
        <v>53</v>
      </c>
      <c r="K18" s="20"/>
    </row>
    <row r="19" customFormat="false" ht="68.65" hidden="false" customHeight="false" outlineLevel="0" collapsed="false">
      <c r="A19" s="20" t="n">
        <v>18</v>
      </c>
      <c r="B19" s="25" t="s">
        <v>111</v>
      </c>
      <c r="C19" s="20" t="s">
        <v>128</v>
      </c>
      <c r="D19" s="22" t="s">
        <v>129</v>
      </c>
      <c r="E19" s="20" t="s">
        <v>45</v>
      </c>
      <c r="F19" s="20" t="s">
        <v>56</v>
      </c>
      <c r="G19" s="23" t="s">
        <v>125</v>
      </c>
      <c r="H19" s="20" t="s">
        <v>130</v>
      </c>
      <c r="I19" s="20" t="s">
        <v>131</v>
      </c>
      <c r="J19" s="24" t="s">
        <v>53</v>
      </c>
      <c r="K19" s="20"/>
    </row>
    <row r="20" customFormat="false" ht="68.65" hidden="false" customHeight="false" outlineLevel="0" collapsed="false">
      <c r="A20" s="20" t="n">
        <v>19</v>
      </c>
      <c r="B20" s="25" t="s">
        <v>111</v>
      </c>
      <c r="C20" s="20" t="s">
        <v>132</v>
      </c>
      <c r="D20" s="22" t="s">
        <v>133</v>
      </c>
      <c r="E20" s="20" t="s">
        <v>45</v>
      </c>
      <c r="F20" s="20" t="s">
        <v>56</v>
      </c>
      <c r="G20" s="23" t="s">
        <v>125</v>
      </c>
      <c r="H20" s="20" t="s">
        <v>134</v>
      </c>
      <c r="I20" s="20" t="s">
        <v>135</v>
      </c>
      <c r="J20" s="24" t="s">
        <v>53</v>
      </c>
      <c r="K20" s="20"/>
    </row>
    <row r="21" customFormat="false" ht="68.65" hidden="false" customHeight="false" outlineLevel="0" collapsed="false">
      <c r="A21" s="20" t="n">
        <v>20</v>
      </c>
      <c r="B21" s="25" t="s">
        <v>111</v>
      </c>
      <c r="C21" s="20" t="s">
        <v>136</v>
      </c>
      <c r="D21" s="22" t="s">
        <v>137</v>
      </c>
      <c r="E21" s="20" t="s">
        <v>45</v>
      </c>
      <c r="F21" s="20" t="s">
        <v>56</v>
      </c>
      <c r="G21" s="23" t="s">
        <v>138</v>
      </c>
      <c r="H21" s="20" t="s">
        <v>139</v>
      </c>
      <c r="I21" s="20" t="s">
        <v>140</v>
      </c>
      <c r="J21" s="24" t="s">
        <v>53</v>
      </c>
      <c r="K21" s="20"/>
    </row>
    <row r="22" customFormat="false" ht="46.25" hidden="false" customHeight="false" outlineLevel="0" collapsed="false">
      <c r="A22" s="20" t="n">
        <v>21</v>
      </c>
      <c r="B22" s="25" t="s">
        <v>111</v>
      </c>
      <c r="C22" s="20" t="s">
        <v>141</v>
      </c>
      <c r="D22" s="22" t="s">
        <v>142</v>
      </c>
      <c r="E22" s="20" t="s">
        <v>45</v>
      </c>
      <c r="F22" s="20" t="s">
        <v>143</v>
      </c>
      <c r="G22" s="23" t="s">
        <v>144</v>
      </c>
      <c r="H22" s="20" t="s">
        <v>145</v>
      </c>
      <c r="I22" s="20" t="s">
        <v>146</v>
      </c>
      <c r="J22" s="24" t="s">
        <v>53</v>
      </c>
      <c r="K22" s="20"/>
    </row>
    <row r="23" customFormat="false" ht="35.05" hidden="false" customHeight="false" outlineLevel="0" collapsed="false">
      <c r="A23" s="20" t="n">
        <v>22</v>
      </c>
      <c r="B23" s="25" t="s">
        <v>111</v>
      </c>
      <c r="C23" s="20" t="s">
        <v>147</v>
      </c>
      <c r="D23" s="22" t="s">
        <v>148</v>
      </c>
      <c r="E23" s="20" t="s">
        <v>45</v>
      </c>
      <c r="F23" s="20" t="s">
        <v>143</v>
      </c>
      <c r="G23" s="23" t="s">
        <v>149</v>
      </c>
      <c r="H23" s="20" t="s">
        <v>150</v>
      </c>
      <c r="I23" s="20" t="s">
        <v>151</v>
      </c>
      <c r="J23" s="24" t="s">
        <v>53</v>
      </c>
      <c r="K23" s="20"/>
    </row>
    <row r="24" customFormat="false" ht="68.65" hidden="false" customHeight="false" outlineLevel="0" collapsed="false">
      <c r="A24" s="20" t="n">
        <v>23</v>
      </c>
      <c r="B24" s="25" t="s">
        <v>111</v>
      </c>
      <c r="C24" s="20" t="s">
        <v>152</v>
      </c>
      <c r="D24" s="22" t="s">
        <v>153</v>
      </c>
      <c r="E24" s="20" t="s">
        <v>45</v>
      </c>
      <c r="F24" s="20" t="s">
        <v>56</v>
      </c>
      <c r="G24" s="23" t="s">
        <v>154</v>
      </c>
      <c r="H24" s="20" t="s">
        <v>155</v>
      </c>
      <c r="I24" s="20" t="s">
        <v>156</v>
      </c>
      <c r="J24" s="24" t="s">
        <v>53</v>
      </c>
      <c r="K24" s="20"/>
    </row>
    <row r="25" customFormat="false" ht="57.45" hidden="false" customHeight="false" outlineLevel="0" collapsed="false">
      <c r="A25" s="20" t="n">
        <v>24</v>
      </c>
      <c r="B25" s="25" t="s">
        <v>111</v>
      </c>
      <c r="C25" s="20" t="s">
        <v>157</v>
      </c>
      <c r="D25" s="22" t="s">
        <v>158</v>
      </c>
      <c r="E25" s="20" t="s">
        <v>159</v>
      </c>
      <c r="F25" s="20" t="s">
        <v>56</v>
      </c>
      <c r="G25" s="23" t="s">
        <v>160</v>
      </c>
      <c r="H25" s="20" t="s">
        <v>161</v>
      </c>
      <c r="I25" s="20" t="s">
        <v>162</v>
      </c>
      <c r="J25" s="24" t="s">
        <v>163</v>
      </c>
      <c r="K25" s="20"/>
    </row>
    <row r="26" customFormat="false" ht="35.05" hidden="false" customHeight="false" outlineLevel="0" collapsed="false">
      <c r="A26" s="20" t="n">
        <v>25</v>
      </c>
      <c r="B26" s="26" t="s">
        <v>164</v>
      </c>
      <c r="C26" s="20" t="s">
        <v>165</v>
      </c>
      <c r="D26" s="22" t="s">
        <v>166</v>
      </c>
      <c r="E26" s="20" t="s">
        <v>45</v>
      </c>
      <c r="F26" s="20" t="s">
        <v>56</v>
      </c>
      <c r="G26" s="23" t="s">
        <v>167</v>
      </c>
      <c r="H26" s="20" t="s">
        <v>168</v>
      </c>
      <c r="I26" s="20" t="s">
        <v>169</v>
      </c>
      <c r="J26" s="24" t="s">
        <v>53</v>
      </c>
      <c r="K26" s="20"/>
    </row>
    <row r="27" customFormat="false" ht="23.85" hidden="false" customHeight="false" outlineLevel="0" collapsed="false">
      <c r="A27" s="20" t="n">
        <v>26</v>
      </c>
      <c r="B27" s="26" t="s">
        <v>164</v>
      </c>
      <c r="C27" s="20" t="s">
        <v>170</v>
      </c>
      <c r="D27" s="22" t="s">
        <v>171</v>
      </c>
      <c r="E27" s="20" t="s">
        <v>45</v>
      </c>
      <c r="F27" s="20" t="s">
        <v>56</v>
      </c>
      <c r="G27" s="23" t="s">
        <v>172</v>
      </c>
      <c r="H27" s="20" t="s">
        <v>173</v>
      </c>
      <c r="I27" s="20" t="s">
        <v>44</v>
      </c>
      <c r="J27" s="24" t="s">
        <v>53</v>
      </c>
      <c r="K27" s="20"/>
    </row>
    <row r="28" customFormat="false" ht="23.85" hidden="false" customHeight="false" outlineLevel="0" collapsed="false">
      <c r="A28" s="20" t="n">
        <v>27</v>
      </c>
      <c r="B28" s="26" t="s">
        <v>164</v>
      </c>
      <c r="C28" s="20" t="s">
        <v>174</v>
      </c>
      <c r="D28" s="22" t="s">
        <v>175</v>
      </c>
      <c r="E28" s="20" t="s">
        <v>45</v>
      </c>
      <c r="F28" s="20" t="s">
        <v>56</v>
      </c>
      <c r="G28" s="23" t="s">
        <v>176</v>
      </c>
      <c r="H28" s="20" t="s">
        <v>177</v>
      </c>
      <c r="I28" s="20" t="s">
        <v>178</v>
      </c>
      <c r="J28" s="24" t="s">
        <v>53</v>
      </c>
      <c r="K28" s="20"/>
    </row>
    <row r="29" customFormat="false" ht="23.85" hidden="false" customHeight="false" outlineLevel="0" collapsed="false">
      <c r="A29" s="20" t="n">
        <v>28</v>
      </c>
      <c r="B29" s="26" t="s">
        <v>164</v>
      </c>
      <c r="C29" s="20" t="s">
        <v>179</v>
      </c>
      <c r="D29" s="22" t="s">
        <v>180</v>
      </c>
      <c r="E29" s="20" t="s">
        <v>181</v>
      </c>
      <c r="F29" s="20" t="s">
        <v>56</v>
      </c>
      <c r="G29" s="23" t="s">
        <v>182</v>
      </c>
      <c r="H29" s="20" t="s">
        <v>183</v>
      </c>
      <c r="I29" s="20" t="s">
        <v>184</v>
      </c>
      <c r="J29" s="24" t="s">
        <v>53</v>
      </c>
      <c r="K29" s="20"/>
    </row>
    <row r="30" customFormat="false" ht="23.85" hidden="false" customHeight="false" outlineLevel="0" collapsed="false">
      <c r="A30" s="20" t="n">
        <v>29</v>
      </c>
      <c r="B30" s="26" t="s">
        <v>164</v>
      </c>
      <c r="C30" s="20" t="s">
        <v>185</v>
      </c>
      <c r="D30" s="22" t="s">
        <v>186</v>
      </c>
      <c r="E30" s="20" t="s">
        <v>187</v>
      </c>
      <c r="F30" s="20" t="s">
        <v>56</v>
      </c>
      <c r="G30" s="23" t="s">
        <v>188</v>
      </c>
      <c r="H30" s="20" t="s">
        <v>189</v>
      </c>
      <c r="I30" s="20" t="s">
        <v>190</v>
      </c>
      <c r="J30" s="24" t="s">
        <v>53</v>
      </c>
      <c r="K30" s="20"/>
    </row>
    <row r="31" customFormat="false" ht="35.05" hidden="false" customHeight="false" outlineLevel="0" collapsed="false">
      <c r="A31" s="20" t="n">
        <v>30</v>
      </c>
      <c r="B31" s="26" t="s">
        <v>164</v>
      </c>
      <c r="C31" s="20" t="s">
        <v>191</v>
      </c>
      <c r="D31" s="22" t="s">
        <v>192</v>
      </c>
      <c r="E31" s="20" t="s">
        <v>45</v>
      </c>
      <c r="F31" s="20" t="s">
        <v>107</v>
      </c>
      <c r="G31" s="23" t="s">
        <v>193</v>
      </c>
      <c r="H31" s="20" t="s">
        <v>194</v>
      </c>
      <c r="I31" s="20" t="s">
        <v>195</v>
      </c>
      <c r="J31" s="24" t="s">
        <v>53</v>
      </c>
      <c r="K31" s="20"/>
    </row>
    <row r="32" customFormat="false" ht="23.85" hidden="false" customHeight="false" outlineLevel="0" collapsed="false">
      <c r="A32" s="20" t="n">
        <v>31</v>
      </c>
      <c r="B32" s="26" t="s">
        <v>164</v>
      </c>
      <c r="C32" s="20" t="s">
        <v>196</v>
      </c>
      <c r="D32" s="22" t="s">
        <v>197</v>
      </c>
      <c r="E32" s="20" t="s">
        <v>45</v>
      </c>
      <c r="F32" s="20" t="s">
        <v>56</v>
      </c>
      <c r="G32" s="20"/>
      <c r="H32" s="20" t="s">
        <v>198</v>
      </c>
      <c r="I32" s="20" t="s">
        <v>44</v>
      </c>
      <c r="J32" s="24" t="s">
        <v>163</v>
      </c>
      <c r="K32" s="20"/>
    </row>
  </sheetData>
  <autoFilter ref="A1:K32"/>
  <conditionalFormatting sqref="J2:J32">
    <cfRule type="cellIs" priority="2" operator="equal" aboveAverage="0" equalAverage="0" bottom="0" percent="0" rank="0" text="" dxfId="0">
      <formula>"Done"</formula>
    </cfRule>
    <cfRule type="cellIs" priority="3" operator="equal" aboveAverage="0" equalAverage="0" bottom="0" percent="0" rank="0" text="" dxfId="12">
      <formula>"In progress"</formula>
    </cfRule>
    <cfRule type="cellIs" priority="4" operator="equal" aboveAverage="0" equalAverage="0" bottom="0" percent="0" rank="0" text="" dxfId="13">
      <formula>"Skipped"</formula>
    </cfRule>
  </conditionalFormatting>
  <dataValidations count="1">
    <dataValidation allowBlank="true" errorStyle="stop" operator="between" showDropDown="false" showErrorMessage="false" showInputMessage="false" sqref="J2:J32" type="list">
      <formula1>"Not started,In progress,Done,Skipped"</formula1>
      <formula2>0</formula2>
    </dataValidation>
  </dataValidations>
  <hyperlinks>
    <hyperlink ref="G2" r:id="rId2" display="https://github.com/kashyapphassan2000-netizen/SOCIAL-MEDIA-AUTOMATION-"/>
    <hyperlink ref="G3" r:id="rId3" display="https://vercel.com/signup"/>
    <hyperlink ref="G9" r:id="rId4" display="https://vercel.com/marketplace/upstash"/>
    <hyperlink ref="G10" r:id="rId5" display="https://vercel.com/docs/vercel-blob"/>
    <hyperlink ref="G11" r:id="rId6" display="https://aistudio.google.com/apikey"/>
    <hyperlink ref="G12" r:id="rId7" display="https://console.groq.com/keys"/>
    <hyperlink ref="G13" r:id="rId8" display="https://github.com/settings/personal-access-tokens/new"/>
    <hyperlink ref="G15" r:id="rId9" display="https://github.com/kashyapphassan2000-netizen/SOCIAL-MEDIA-AUTOMATION-/settings/secrets/actions"/>
    <hyperlink ref="G16" r:id="rId10" display="https://console.cloud.google.com/"/>
    <hyperlink ref="G17" r:id="rId11" display="https://sheets.new"/>
    <hyperlink ref="G18" r:id="rId12" display="https://developers.facebook.com/apps"/>
    <hyperlink ref="G19" r:id="rId13" display="https://developers.facebook.com/apps"/>
    <hyperlink ref="G20" r:id="rId14" display="https://developers.facebook.com/apps"/>
    <hyperlink ref="G21" r:id="rId15" display="https://www.linkedin.com/developers/apps"/>
    <hyperlink ref="G22" r:id="rId16" display="https://t.me/BotFather"/>
    <hyperlink ref="G23" r:id="rId17" display="https://bsky.app/settings/app-passwords"/>
    <hyperlink ref="G24" r:id="rId18" display="https://developers.pinterest.com/apps/"/>
    <hyperlink ref="G25" r:id="rId19" display="https://developer.x.com/"/>
    <hyperlink ref="G26" r:id="rId20" display="https://www.pexels.com/api/"/>
    <hyperlink ref="G27" r:id="rId21" display="https://pixabay.com/api/docs/"/>
    <hyperlink ref="G28" r:id="rId22" display="https://cloud.cerebras.ai/"/>
    <hyperlink ref="G29" r:id="rId23" display="https://openrouter.ai/keys"/>
    <hyperlink ref="G30" r:id="rId24" display="https://build.nvidia.com/"/>
    <hyperlink ref="G31" r:id="rId25" display="https://www.kaggle.com/setting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6"/>
  <legacyDrawing r:id="rId2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95"/>
    <col collapsed="false" customWidth="true" hidden="false" outlineLevel="0" max="4" min="4" style="0" width="18"/>
    <col collapsed="false" customWidth="true" hidden="false" outlineLevel="0" max="5" min="5" style="0" width="13"/>
  </cols>
  <sheetData>
    <row r="1" customFormat="false" ht="23.85" hidden="false" customHeight="false" outlineLevel="0" collapsed="false">
      <c r="A1" s="19" t="s">
        <v>199</v>
      </c>
      <c r="B1" s="19" t="s">
        <v>200</v>
      </c>
      <c r="C1" s="19" t="s">
        <v>201</v>
      </c>
      <c r="D1" s="19" t="s">
        <v>202</v>
      </c>
      <c r="E1" s="19" t="s">
        <v>40</v>
      </c>
    </row>
    <row r="2" customFormat="false" ht="23.85" hidden="false" customHeight="false" outlineLevel="0" collapsed="false">
      <c r="A2" s="20" t="n">
        <v>1</v>
      </c>
      <c r="B2" s="20" t="s">
        <v>203</v>
      </c>
      <c r="C2" s="20" t="s">
        <v>204</v>
      </c>
      <c r="D2" s="20" t="s">
        <v>205</v>
      </c>
      <c r="E2" s="24" t="s">
        <v>53</v>
      </c>
    </row>
    <row r="3" customFormat="false" ht="15" hidden="false" customHeight="false" outlineLevel="0" collapsed="false">
      <c r="A3" s="20" t="n">
        <v>2</v>
      </c>
      <c r="B3" s="20" t="s">
        <v>206</v>
      </c>
      <c r="C3" s="20" t="s">
        <v>207</v>
      </c>
      <c r="D3" s="20" t="s">
        <v>208</v>
      </c>
      <c r="E3" s="24" t="s">
        <v>53</v>
      </c>
    </row>
    <row r="4" customFormat="false" ht="57.45" hidden="false" customHeight="false" outlineLevel="0" collapsed="false">
      <c r="A4" s="20" t="n">
        <v>3</v>
      </c>
      <c r="B4" s="20" t="s">
        <v>209</v>
      </c>
      <c r="C4" s="20" t="s">
        <v>210</v>
      </c>
      <c r="D4" s="20" t="s">
        <v>211</v>
      </c>
      <c r="E4" s="24" t="s">
        <v>53</v>
      </c>
    </row>
    <row r="5" customFormat="false" ht="23.85" hidden="false" customHeight="false" outlineLevel="0" collapsed="false">
      <c r="A5" s="20" t="n">
        <v>4</v>
      </c>
      <c r="B5" s="20" t="s">
        <v>212</v>
      </c>
      <c r="C5" s="20" t="s">
        <v>213</v>
      </c>
      <c r="D5" s="20" t="s">
        <v>214</v>
      </c>
      <c r="E5" s="24" t="s">
        <v>53</v>
      </c>
    </row>
    <row r="6" customFormat="false" ht="15" hidden="false" customHeight="false" outlineLevel="0" collapsed="false">
      <c r="A6" s="20" t="n">
        <v>5</v>
      </c>
      <c r="B6" s="20" t="s">
        <v>215</v>
      </c>
      <c r="C6" s="20" t="s">
        <v>216</v>
      </c>
      <c r="D6" s="20" t="s">
        <v>217</v>
      </c>
      <c r="E6" s="24" t="s">
        <v>53</v>
      </c>
    </row>
    <row r="7" customFormat="false" ht="23.85" hidden="false" customHeight="false" outlineLevel="0" collapsed="false">
      <c r="A7" s="20" t="n">
        <v>6</v>
      </c>
      <c r="B7" s="20" t="s">
        <v>218</v>
      </c>
      <c r="C7" s="20" t="s">
        <v>219</v>
      </c>
      <c r="D7" s="20" t="s">
        <v>217</v>
      </c>
      <c r="E7" s="24" t="s">
        <v>53</v>
      </c>
    </row>
    <row r="8" customFormat="false" ht="23.85" hidden="false" customHeight="false" outlineLevel="0" collapsed="false">
      <c r="A8" s="20" t="n">
        <v>7</v>
      </c>
      <c r="B8" s="20" t="s">
        <v>220</v>
      </c>
      <c r="C8" s="20" t="s">
        <v>221</v>
      </c>
      <c r="D8" s="20" t="s">
        <v>222</v>
      </c>
      <c r="E8" s="24" t="s">
        <v>53</v>
      </c>
    </row>
    <row r="9" customFormat="false" ht="23.85" hidden="false" customHeight="false" outlineLevel="0" collapsed="false">
      <c r="A9" s="20" t="n">
        <v>8</v>
      </c>
      <c r="B9" s="20" t="s">
        <v>223</v>
      </c>
      <c r="C9" s="20" t="s">
        <v>224</v>
      </c>
      <c r="D9" s="20" t="s">
        <v>225</v>
      </c>
      <c r="E9" s="24" t="s">
        <v>53</v>
      </c>
    </row>
    <row r="10" customFormat="false" ht="23.85" hidden="false" customHeight="false" outlineLevel="0" collapsed="false">
      <c r="A10" s="20" t="n">
        <v>9</v>
      </c>
      <c r="B10" s="20" t="s">
        <v>226</v>
      </c>
      <c r="C10" s="20" t="s">
        <v>227</v>
      </c>
      <c r="D10" s="20" t="s">
        <v>44</v>
      </c>
      <c r="E10" s="24" t="s">
        <v>53</v>
      </c>
    </row>
    <row r="11" customFormat="false" ht="23.85" hidden="false" customHeight="false" outlineLevel="0" collapsed="false">
      <c r="A11" s="20" t="n">
        <v>10</v>
      </c>
      <c r="B11" s="20" t="s">
        <v>228</v>
      </c>
      <c r="C11" s="20" t="s">
        <v>229</v>
      </c>
      <c r="D11" s="20" t="s">
        <v>230</v>
      </c>
      <c r="E11" s="24" t="s">
        <v>53</v>
      </c>
    </row>
    <row r="12" customFormat="false" ht="15" hidden="false" customHeight="false" outlineLevel="0" collapsed="false">
      <c r="A12" s="20" t="n">
        <v>11</v>
      </c>
      <c r="B12" s="20" t="s">
        <v>231</v>
      </c>
      <c r="C12" s="20" t="s">
        <v>232</v>
      </c>
      <c r="D12" s="20" t="s">
        <v>44</v>
      </c>
      <c r="E12" s="24" t="s">
        <v>53</v>
      </c>
    </row>
    <row r="13" customFormat="false" ht="46.25" hidden="false" customHeight="false" outlineLevel="0" collapsed="false">
      <c r="A13" s="20" t="n">
        <v>12</v>
      </c>
      <c r="B13" s="20" t="s">
        <v>233</v>
      </c>
      <c r="C13" s="20" t="s">
        <v>234</v>
      </c>
      <c r="D13" s="20" t="s">
        <v>235</v>
      </c>
      <c r="E13" s="24" t="s">
        <v>53</v>
      </c>
    </row>
  </sheetData>
  <autoFilter ref="A1:E13"/>
  <conditionalFormatting sqref="E2:E13">
    <cfRule type="cellIs" priority="2" operator="equal" aboveAverage="0" equalAverage="0" bottom="0" percent="0" rank="0" text="" dxfId="0">
      <formula>"Done"</formula>
    </cfRule>
    <cfRule type="cellIs" priority="3" operator="equal" aboveAverage="0" equalAverage="0" bottom="0" percent="0" rank="0" text="" dxfId="12">
      <formula>"In progress"</formula>
    </cfRule>
    <cfRule type="cellIs" priority="4" operator="equal" aboveAverage="0" equalAverage="0" bottom="0" percent="0" rank="0" text="" dxfId="13">
      <formula>"Skipped"</formula>
    </cfRule>
  </conditionalFormatting>
  <dataValidations count="1">
    <dataValidation allowBlank="true" errorStyle="stop" operator="between" showDropDown="false" showErrorMessage="false" showInputMessage="false" sqref="E2:E13" type="list">
      <formula1>"Not started,In progress,Done,Skipped"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80"/>
    <col collapsed="false" customWidth="true" hidden="false" outlineLevel="0" max="4" min="4" style="0" width="50"/>
    <col collapsed="false" customWidth="true" hidden="false" outlineLevel="0" max="5" min="5" style="0" width="13"/>
  </cols>
  <sheetData>
    <row r="1" customFormat="false" ht="15" hidden="false" customHeight="false" outlineLevel="0" collapsed="false">
      <c r="A1" s="19" t="s">
        <v>199</v>
      </c>
      <c r="B1" s="19" t="s">
        <v>236</v>
      </c>
      <c r="C1" s="19" t="s">
        <v>201</v>
      </c>
      <c r="D1" s="19" t="s">
        <v>237</v>
      </c>
      <c r="E1" s="19" t="s">
        <v>40</v>
      </c>
    </row>
    <row r="2" customFormat="false" ht="23.85" hidden="false" customHeight="false" outlineLevel="0" collapsed="false">
      <c r="A2" s="20" t="n">
        <v>1</v>
      </c>
      <c r="B2" s="20" t="s">
        <v>238</v>
      </c>
      <c r="C2" s="20" t="s">
        <v>239</v>
      </c>
      <c r="D2" s="20" t="s">
        <v>240</v>
      </c>
      <c r="E2" s="24" t="s">
        <v>53</v>
      </c>
    </row>
    <row r="3" customFormat="false" ht="15" hidden="false" customHeight="false" outlineLevel="0" collapsed="false">
      <c r="A3" s="20" t="n">
        <v>2</v>
      </c>
      <c r="B3" s="20" t="s">
        <v>238</v>
      </c>
      <c r="C3" s="20" t="s">
        <v>241</v>
      </c>
      <c r="D3" s="20" t="s">
        <v>242</v>
      </c>
      <c r="E3" s="24" t="s">
        <v>53</v>
      </c>
    </row>
    <row r="4" customFormat="false" ht="15" hidden="false" customHeight="false" outlineLevel="0" collapsed="false">
      <c r="A4" s="20" t="n">
        <v>3</v>
      </c>
      <c r="B4" s="20" t="s">
        <v>238</v>
      </c>
      <c r="C4" s="20" t="s">
        <v>243</v>
      </c>
      <c r="D4" s="20" t="s">
        <v>244</v>
      </c>
      <c r="E4" s="24" t="s">
        <v>53</v>
      </c>
    </row>
    <row r="5" customFormat="false" ht="15" hidden="false" customHeight="false" outlineLevel="0" collapsed="false">
      <c r="A5" s="20" t="n">
        <v>4</v>
      </c>
      <c r="B5" s="20" t="s">
        <v>245</v>
      </c>
      <c r="C5" s="20" t="s">
        <v>246</v>
      </c>
      <c r="D5" s="20" t="s">
        <v>247</v>
      </c>
      <c r="E5" s="24" t="s">
        <v>53</v>
      </c>
    </row>
    <row r="6" customFormat="false" ht="23.85" hidden="false" customHeight="false" outlineLevel="0" collapsed="false">
      <c r="A6" s="20" t="n">
        <v>5</v>
      </c>
      <c r="B6" s="20" t="s">
        <v>245</v>
      </c>
      <c r="C6" s="20" t="s">
        <v>248</v>
      </c>
      <c r="D6" s="20" t="s">
        <v>249</v>
      </c>
      <c r="E6" s="24" t="s">
        <v>53</v>
      </c>
    </row>
    <row r="7" customFormat="false" ht="35.05" hidden="false" customHeight="false" outlineLevel="0" collapsed="false">
      <c r="A7" s="20" t="n">
        <v>6</v>
      </c>
      <c r="B7" s="20" t="s">
        <v>250</v>
      </c>
      <c r="C7" s="20" t="s">
        <v>251</v>
      </c>
      <c r="D7" s="20" t="s">
        <v>252</v>
      </c>
      <c r="E7" s="24" t="s">
        <v>53</v>
      </c>
    </row>
    <row r="8" customFormat="false" ht="23.85" hidden="false" customHeight="false" outlineLevel="0" collapsed="false">
      <c r="A8" s="20" t="n">
        <v>7</v>
      </c>
      <c r="B8" s="20" t="s">
        <v>253</v>
      </c>
      <c r="C8" s="20" t="s">
        <v>254</v>
      </c>
      <c r="D8" s="20" t="s">
        <v>255</v>
      </c>
      <c r="E8" s="24" t="s">
        <v>53</v>
      </c>
    </row>
    <row r="9" customFormat="false" ht="23.85" hidden="false" customHeight="false" outlineLevel="0" collapsed="false">
      <c r="A9" s="20" t="n">
        <v>8</v>
      </c>
      <c r="B9" s="20" t="s">
        <v>256</v>
      </c>
      <c r="C9" s="20" t="s">
        <v>257</v>
      </c>
      <c r="D9" s="20" t="s">
        <v>258</v>
      </c>
      <c r="E9" s="24" t="s">
        <v>53</v>
      </c>
    </row>
    <row r="10" customFormat="false" ht="23.85" hidden="false" customHeight="false" outlineLevel="0" collapsed="false">
      <c r="A10" s="20" t="n">
        <v>9</v>
      </c>
      <c r="B10" s="20" t="s">
        <v>259</v>
      </c>
      <c r="C10" s="20" t="s">
        <v>260</v>
      </c>
      <c r="D10" s="20" t="s">
        <v>261</v>
      </c>
      <c r="E10" s="24" t="s">
        <v>53</v>
      </c>
    </row>
    <row r="11" customFormat="false" ht="15" hidden="false" customHeight="false" outlineLevel="0" collapsed="false">
      <c r="A11" s="20" t="n">
        <v>10</v>
      </c>
      <c r="B11" s="20" t="s">
        <v>262</v>
      </c>
      <c r="C11" s="20" t="s">
        <v>263</v>
      </c>
      <c r="D11" s="20" t="s">
        <v>264</v>
      </c>
      <c r="E11" s="24" t="s">
        <v>53</v>
      </c>
    </row>
    <row r="12" customFormat="false" ht="23.85" hidden="false" customHeight="false" outlineLevel="0" collapsed="false">
      <c r="A12" s="20" t="n">
        <v>11</v>
      </c>
      <c r="B12" s="20" t="s">
        <v>265</v>
      </c>
      <c r="C12" s="20" t="s">
        <v>266</v>
      </c>
      <c r="D12" s="20" t="s">
        <v>267</v>
      </c>
      <c r="E12" s="24" t="s">
        <v>53</v>
      </c>
    </row>
    <row r="13" customFormat="false" ht="23.85" hidden="false" customHeight="false" outlineLevel="0" collapsed="false">
      <c r="A13" s="20" t="n">
        <v>12</v>
      </c>
      <c r="B13" s="20" t="s">
        <v>268</v>
      </c>
      <c r="C13" s="20" t="s">
        <v>269</v>
      </c>
      <c r="D13" s="20" t="s">
        <v>270</v>
      </c>
      <c r="E13" s="24" t="s">
        <v>53</v>
      </c>
    </row>
  </sheetData>
  <autoFilter ref="A1:E13"/>
  <conditionalFormatting sqref="E2:E13">
    <cfRule type="cellIs" priority="2" operator="equal" aboveAverage="0" equalAverage="0" bottom="0" percent="0" rank="0" text="" dxfId="0">
      <formula>"Done"</formula>
    </cfRule>
    <cfRule type="cellIs" priority="3" operator="equal" aboveAverage="0" equalAverage="0" bottom="0" percent="0" rank="0" text="" dxfId="12">
      <formula>"In progress"</formula>
    </cfRule>
    <cfRule type="cellIs" priority="4" operator="equal" aboveAverage="0" equalAverage="0" bottom="0" percent="0" rank="0" text="" dxfId="13">
      <formula>"Skipped"</formula>
    </cfRule>
  </conditionalFormatting>
  <dataValidations count="1">
    <dataValidation allowBlank="true" errorStyle="stop" operator="between" showDropDown="false" showErrorMessage="false" showInputMessage="false" sqref="E2:E13" type="list">
      <formula1>"Not started,In progress,Done,Skipped"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70"/>
    <col collapsed="false" customWidth="true" hidden="false" outlineLevel="0" max="3" min="3" style="0" width="60"/>
  </cols>
  <sheetData>
    <row r="1" customFormat="false" ht="15" hidden="false" customHeight="false" outlineLevel="0" collapsed="false">
      <c r="A1" s="19" t="s">
        <v>271</v>
      </c>
      <c r="B1" s="19" t="s">
        <v>272</v>
      </c>
      <c r="C1" s="19" t="s">
        <v>273</v>
      </c>
    </row>
    <row r="2" customFormat="false" ht="23.85" hidden="false" customHeight="false" outlineLevel="0" collapsed="false">
      <c r="A2" s="20" t="s">
        <v>274</v>
      </c>
      <c r="B2" s="22" t="str">
        <f aca="false">IF('Start Here'!$C$6="","(enter your app URL on Start Here first)",'Start Here'!$C$6&amp;"/api/oauth/google/callback")</f>
        <v>(enter your app URL on Start Here first)</v>
      </c>
      <c r="C2" s="20" t="s">
        <v>275</v>
      </c>
    </row>
    <row r="3" customFormat="false" ht="23.85" hidden="false" customHeight="false" outlineLevel="0" collapsed="false">
      <c r="A3" s="20" t="s">
        <v>276</v>
      </c>
      <c r="B3" s="22" t="str">
        <f aca="false">IF('Start Here'!$C$6="","(enter your app URL on Start Here first)",'Start Here'!$C$6&amp;"/api/oauth/instagram/callback")</f>
        <v>(enter your app URL on Start Here first)</v>
      </c>
      <c r="C3" s="20" t="s">
        <v>277</v>
      </c>
    </row>
    <row r="4" customFormat="false" ht="23.85" hidden="false" customHeight="false" outlineLevel="0" collapsed="false">
      <c r="A4" s="20" t="s">
        <v>278</v>
      </c>
      <c r="B4" s="22" t="str">
        <f aca="false">IF('Start Here'!$C$6="","(enter your app URL on Start Here first)",'Start Here'!$C$6&amp;"/api/oauth/facebook/callback")</f>
        <v>(enter your app URL on Start Here first)</v>
      </c>
      <c r="C4" s="20" t="s">
        <v>279</v>
      </c>
    </row>
    <row r="5" customFormat="false" ht="15" hidden="false" customHeight="false" outlineLevel="0" collapsed="false">
      <c r="A5" s="20" t="s">
        <v>280</v>
      </c>
      <c r="B5" s="22" t="str">
        <f aca="false">IF('Start Here'!$C$6="","(enter your app URL on Start Here first)",'Start Here'!$C$6&amp;"/api/oauth/threads/callback")</f>
        <v>(enter your app URL on Start Here first)</v>
      </c>
      <c r="C5" s="20" t="s">
        <v>281</v>
      </c>
    </row>
    <row r="6" customFormat="false" ht="15" hidden="false" customHeight="false" outlineLevel="0" collapsed="false">
      <c r="A6" s="20" t="s">
        <v>282</v>
      </c>
      <c r="B6" s="22" t="str">
        <f aca="false">IF('Start Here'!$C$6="","(enter your app URL on Start Here first)",'Start Here'!$C$6&amp;"/api/oauth/linkedin/callback")</f>
        <v>(enter your app URL on Start Here first)</v>
      </c>
      <c r="C6" s="20" t="s">
        <v>283</v>
      </c>
    </row>
    <row r="7" customFormat="false" ht="15" hidden="false" customHeight="false" outlineLevel="0" collapsed="false">
      <c r="A7" s="20" t="s">
        <v>284</v>
      </c>
      <c r="B7" s="22" t="str">
        <f aca="false">IF('Start Here'!$C$6="","(enter your app URL on Start Here first)",'Start Here'!$C$6&amp;"/api/oauth/pinterest/callback")</f>
        <v>(enter your app URL on Start Here first)</v>
      </c>
      <c r="C7" s="20" t="s">
        <v>285</v>
      </c>
    </row>
    <row r="8" customFormat="false" ht="15" hidden="false" customHeight="false" outlineLevel="0" collapsed="false">
      <c r="A8" s="20" t="s">
        <v>286</v>
      </c>
      <c r="B8" s="22" t="str">
        <f aca="false">IF('Start Here'!$C$6="","(enter your app URL on Start Here first)",'Start Here'!$C$6&amp;"/api/oauth/x/callback")</f>
        <v>(enter your app URL on Start Here first)</v>
      </c>
      <c r="C8" s="20" t="s">
        <v>287</v>
      </c>
    </row>
  </sheetData>
  <autoFilter ref="A1:C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2026-10-08T07:49:21Z</dcterms:created>
  <dc:creator>openpyxl</dc:creator>
  <dc:description/>
  <dc:language>en-US</dc:language>
  <cp:lastModifiedBy/>
  <dcterms:modified xsi:type="dcterms:W3CDTF">2026-10-08T07:49:21Z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